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mass-my.sharepoint.com/personal/lkurt_umass_edu/Documents/"/>
    </mc:Choice>
  </mc:AlternateContent>
  <xr:revisionPtr revIDLastSave="402" documentId="8_{47EEE106-4630-4944-9652-1C4080643150}" xr6:coauthVersionLast="47" xr6:coauthVersionMax="47" xr10:uidLastSave="{52D08FFB-7151-F143-A6D1-98DAFE2675F3}"/>
  <bookViews>
    <workbookView xWindow="240" yWindow="560" windowWidth="22860" windowHeight="17440" xr2:uid="{F79FF81E-3847-854D-9387-F73363CB5D32}"/>
  </bookViews>
  <sheets>
    <sheet name="Comps-Robinhoo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1" i="1" l="1"/>
  <c r="I49" i="1"/>
  <c r="H9" i="1"/>
  <c r="I28" i="1"/>
  <c r="H5" i="1"/>
  <c r="N32" i="1"/>
  <c r="M9" i="1"/>
  <c r="F25" i="1"/>
  <c r="K26" i="1"/>
  <c r="M29" i="1"/>
  <c r="K31" i="1"/>
  <c r="K32" i="1"/>
  <c r="Q9" i="1"/>
  <c r="G4" i="1"/>
  <c r="M16" i="1"/>
  <c r="Q6" i="1"/>
  <c r="Q4" i="1"/>
  <c r="G5" i="1"/>
  <c r="Q8" i="1"/>
  <c r="I6" i="1"/>
  <c r="I7" i="1"/>
  <c r="I9" i="1"/>
  <c r="I33" i="1"/>
  <c r="P9" i="1"/>
  <c r="I8" i="1"/>
  <c r="I50" i="1"/>
  <c r="I43" i="1"/>
  <c r="I44" i="1"/>
  <c r="I41" i="1"/>
  <c r="I40" i="1"/>
  <c r="I39" i="1"/>
  <c r="I14" i="1"/>
  <c r="G9" i="1"/>
  <c r="L16" i="1"/>
  <c r="L18" i="1"/>
  <c r="L19" i="1" s="1"/>
  <c r="K6" i="1"/>
  <c r="Q22" i="1"/>
  <c r="T26" i="1"/>
  <c r="G8" i="1"/>
  <c r="I5" i="1" l="1"/>
  <c r="F28" i="1"/>
  <c r="O9" i="1"/>
  <c r="P8" i="1"/>
  <c r="O8" i="1"/>
  <c r="K33" i="1" l="1"/>
  <c r="I34" i="1" s="1"/>
  <c r="G7" i="1"/>
  <c r="G6" i="1"/>
  <c r="M5" i="1"/>
  <c r="M4" i="1"/>
  <c r="F24" i="1"/>
  <c r="F23" i="1"/>
  <c r="F22" i="1"/>
  <c r="F21" i="1"/>
  <c r="H4" i="1"/>
  <c r="I4" i="1"/>
  <c r="L4" i="1"/>
  <c r="P4" i="1" s="1"/>
  <c r="K4" i="1"/>
  <c r="O4" i="1" s="1"/>
  <c r="O5" i="1" l="1"/>
  <c r="Q5" i="1"/>
  <c r="Q7" i="1"/>
  <c r="P5" i="1"/>
  <c r="O7" i="1" l="1"/>
  <c r="P7" i="1"/>
  <c r="P6" i="1"/>
  <c r="O6" i="1"/>
</calcChain>
</file>

<file path=xl/sharedStrings.xml><?xml version="1.0" encoding="utf-8"?>
<sst xmlns="http://schemas.openxmlformats.org/spreadsheetml/2006/main" count="31" uniqueCount="31">
  <si>
    <t xml:space="preserve">Comparable Companies Analysis </t>
  </si>
  <si>
    <t xml:space="preserve">Company </t>
  </si>
  <si>
    <t xml:space="preserve">Ticker </t>
  </si>
  <si>
    <t xml:space="preserve">Robinhood </t>
  </si>
  <si>
    <t>Interactive Brokers</t>
  </si>
  <si>
    <t>Charles Schwab</t>
  </si>
  <si>
    <t xml:space="preserve">SoFI Technologies </t>
  </si>
  <si>
    <t>HOOD</t>
  </si>
  <si>
    <t>IBKR</t>
  </si>
  <si>
    <t>SCHW</t>
  </si>
  <si>
    <t>SOFI</t>
  </si>
  <si>
    <t xml:space="preserve">Block (Square) </t>
  </si>
  <si>
    <t xml:space="preserve">XYZ </t>
  </si>
  <si>
    <t xml:space="preserve">Shares Outstanding </t>
  </si>
  <si>
    <t>Share Price</t>
  </si>
  <si>
    <t>Equity Value</t>
  </si>
  <si>
    <t xml:space="preserve">Net Debt </t>
  </si>
  <si>
    <t xml:space="preserve">Enterprise Value </t>
  </si>
  <si>
    <t xml:space="preserve">Market Data </t>
  </si>
  <si>
    <t xml:space="preserve">Revenue </t>
  </si>
  <si>
    <t>EBITDA</t>
  </si>
  <si>
    <t>Net Income</t>
  </si>
  <si>
    <t>EV/Revenue</t>
  </si>
  <si>
    <t>EV/EBITDA</t>
  </si>
  <si>
    <t>P/E</t>
  </si>
  <si>
    <t xml:space="preserve">Financials </t>
  </si>
  <si>
    <t xml:space="preserve">Valuation </t>
  </si>
  <si>
    <t xml:space="preserve">Robin hood in millions </t>
  </si>
  <si>
    <t xml:space="preserve">Ally Financial </t>
  </si>
  <si>
    <t xml:space="preserve">ALLY </t>
  </si>
  <si>
    <t xml:space="preserve">Last updated July 2025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</si>
</sst>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wrapText="1"/>
    </xf>
    <xf numFmtId="0" fontId="1" fillId="2" borderId="1" xfId="0" applyFont="1" applyFill="1" applyBorder="1"/>
    <xf numFmtId="0" fontId="0" fillId="3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1E73B-6C93-1D46-B9EA-233053C26F5B}">
  <dimension ref="A1:T59"/>
  <sheetViews>
    <sheetView tabSelected="1" zoomScale="75" workbookViewId="0">
      <selection activeCell="A11" sqref="A11"/>
    </sheetView>
  </sheetViews>
  <sheetFormatPr baseColWidth="10" defaultRowHeight="16" x14ac:dyDescent="0.2"/>
  <sheetData>
    <row r="1" spans="1:17" x14ac:dyDescent="0.2">
      <c r="A1" t="s">
        <v>0</v>
      </c>
    </row>
    <row r="2" spans="1:17" x14ac:dyDescent="0.2">
      <c r="A2" s="1"/>
      <c r="B2" s="1"/>
      <c r="C2" s="1"/>
      <c r="D2" s="1"/>
      <c r="E2" s="4"/>
      <c r="F2" s="4"/>
      <c r="G2" s="4" t="s">
        <v>18</v>
      </c>
      <c r="H2" s="4"/>
      <c r="I2" s="4"/>
      <c r="J2" s="1"/>
      <c r="K2" s="4"/>
      <c r="L2" s="4" t="s">
        <v>25</v>
      </c>
      <c r="M2" s="4"/>
      <c r="N2" s="1"/>
      <c r="O2" s="4"/>
      <c r="P2" s="4" t="s">
        <v>26</v>
      </c>
      <c r="Q2" s="4"/>
    </row>
    <row r="3" spans="1:17" ht="51" x14ac:dyDescent="0.2">
      <c r="A3" s="1" t="s">
        <v>1</v>
      </c>
      <c r="B3" s="1"/>
      <c r="C3" s="1" t="s">
        <v>2</v>
      </c>
      <c r="D3" s="1"/>
      <c r="E3" s="2" t="s">
        <v>14</v>
      </c>
      <c r="F3" s="3" t="s">
        <v>13</v>
      </c>
      <c r="G3" s="1" t="s">
        <v>15</v>
      </c>
      <c r="H3" s="1" t="s">
        <v>16</v>
      </c>
      <c r="I3" s="3" t="s">
        <v>17</v>
      </c>
      <c r="J3" s="1"/>
      <c r="K3" s="1" t="s">
        <v>19</v>
      </c>
      <c r="L3" s="1" t="s">
        <v>20</v>
      </c>
      <c r="M3" s="1" t="s">
        <v>21</v>
      </c>
      <c r="N3" s="1"/>
      <c r="O3" s="1" t="s">
        <v>22</v>
      </c>
      <c r="P3" s="1" t="s">
        <v>23</v>
      </c>
      <c r="Q3" s="1" t="s">
        <v>24</v>
      </c>
    </row>
    <row r="4" spans="1:17" x14ac:dyDescent="0.2">
      <c r="A4" s="5" t="s">
        <v>3</v>
      </c>
      <c r="B4" s="5"/>
      <c r="C4" s="5" t="s">
        <v>7</v>
      </c>
      <c r="D4" s="5"/>
      <c r="E4" s="5">
        <v>106.52</v>
      </c>
      <c r="F4" s="5">
        <v>909</v>
      </c>
      <c r="G4" s="5">
        <f>E4*F4</f>
        <v>96826.68</v>
      </c>
      <c r="H4" s="5">
        <f>11608+7251+5759+4915</f>
        <v>29533</v>
      </c>
      <c r="I4" s="5">
        <f t="shared" ref="I4:I9" si="0">G4+H4</f>
        <v>126359.67999999999</v>
      </c>
      <c r="J4" s="5"/>
      <c r="K4" s="5">
        <f>997+933+1014+643</f>
        <v>3587</v>
      </c>
      <c r="L4" s="5">
        <f>460+390+578+171</f>
        <v>1599</v>
      </c>
      <c r="M4" s="5">
        <f>386+336+916+150</f>
        <v>1788</v>
      </c>
      <c r="N4" s="5"/>
      <c r="O4" s="5">
        <f t="shared" ref="O4:O9" si="1">I4/K4</f>
        <v>35.227120156119319</v>
      </c>
      <c r="P4" s="5">
        <f t="shared" ref="P4:P9" si="2">I4/L4</f>
        <v>79.024190118824265</v>
      </c>
      <c r="Q4" s="5">
        <f t="shared" ref="Q4:Q9" si="3">G4/M4</f>
        <v>54.153624161073822</v>
      </c>
    </row>
    <row r="5" spans="1:17" x14ac:dyDescent="0.2">
      <c r="A5" t="s">
        <v>4</v>
      </c>
      <c r="C5" t="s">
        <v>8</v>
      </c>
      <c r="E5">
        <v>64.510000000000005</v>
      </c>
      <c r="F5">
        <v>441</v>
      </c>
      <c r="G5">
        <f t="shared" ref="G5:G9" si="4">E5*F5</f>
        <v>28448.910000000003</v>
      </c>
      <c r="H5">
        <f>I28</f>
        <v>-9163.1699999999983</v>
      </c>
      <c r="I5">
        <f t="shared" si="0"/>
        <v>19285.740000000005</v>
      </c>
      <c r="K5">
        <v>9753</v>
      </c>
      <c r="L5">
        <v>8109</v>
      </c>
      <c r="M5">
        <f>224+213+217+184</f>
        <v>838</v>
      </c>
      <c r="O5">
        <f t="shared" si="1"/>
        <v>1.9774161796370353</v>
      </c>
      <c r="P5">
        <f t="shared" si="2"/>
        <v>2.3783129855715877</v>
      </c>
      <c r="Q5">
        <f t="shared" si="3"/>
        <v>33.948579952267309</v>
      </c>
    </row>
    <row r="6" spans="1:17" x14ac:dyDescent="0.2">
      <c r="A6" t="s">
        <v>5</v>
      </c>
      <c r="C6" t="s">
        <v>9</v>
      </c>
      <c r="E6">
        <v>97.15</v>
      </c>
      <c r="F6">
        <v>1822</v>
      </c>
      <c r="G6">
        <f t="shared" si="4"/>
        <v>177007.30000000002</v>
      </c>
      <c r="H6">
        <v>-12847</v>
      </c>
      <c r="I6">
        <f t="shared" si="0"/>
        <v>164160.30000000002</v>
      </c>
      <c r="K6">
        <f>6816+6650+6649+6553</f>
        <v>26668</v>
      </c>
      <c r="L6">
        <v>12863</v>
      </c>
      <c r="M6">
        <v>7283</v>
      </c>
      <c r="O6">
        <f t="shared" si="1"/>
        <v>6.1557034648267592</v>
      </c>
      <c r="P6">
        <f t="shared" si="2"/>
        <v>12.762209437922726</v>
      </c>
      <c r="Q6">
        <f t="shared" si="3"/>
        <v>24.304174104077994</v>
      </c>
    </row>
    <row r="7" spans="1:17" x14ac:dyDescent="0.2">
      <c r="A7" t="s">
        <v>6</v>
      </c>
      <c r="C7" t="s">
        <v>10</v>
      </c>
      <c r="E7">
        <v>21.81</v>
      </c>
      <c r="F7">
        <v>1183</v>
      </c>
      <c r="G7">
        <f t="shared" si="4"/>
        <v>25801.23</v>
      </c>
      <c r="H7">
        <v>2480</v>
      </c>
      <c r="I7">
        <f t="shared" si="0"/>
        <v>28281.23</v>
      </c>
      <c r="K7">
        <v>4164.6400000000003</v>
      </c>
      <c r="L7">
        <v>843.19399999999996</v>
      </c>
      <c r="M7">
        <v>561.6</v>
      </c>
      <c r="O7">
        <f t="shared" si="1"/>
        <v>6.7907982442660106</v>
      </c>
      <c r="P7">
        <f t="shared" si="2"/>
        <v>33.540596825878744</v>
      </c>
      <c r="Q7">
        <f t="shared" si="3"/>
        <v>45.942361111111111</v>
      </c>
    </row>
    <row r="8" spans="1:17" x14ac:dyDescent="0.2">
      <c r="A8" t="s">
        <v>28</v>
      </c>
      <c r="C8" t="s">
        <v>29</v>
      </c>
      <c r="E8">
        <v>36.92</v>
      </c>
      <c r="F8">
        <v>312</v>
      </c>
      <c r="G8">
        <f t="shared" si="4"/>
        <v>11519.04</v>
      </c>
      <c r="H8">
        <v>35134</v>
      </c>
      <c r="I8">
        <f t="shared" si="0"/>
        <v>46653.04</v>
      </c>
      <c r="K8">
        <v>64100</v>
      </c>
      <c r="L8">
        <v>7390</v>
      </c>
      <c r="M8">
        <v>434</v>
      </c>
      <c r="O8">
        <f t="shared" si="1"/>
        <v>0.72781653666146651</v>
      </c>
      <c r="P8">
        <f t="shared" si="2"/>
        <v>6.3129959404600813</v>
      </c>
      <c r="Q8">
        <f t="shared" si="3"/>
        <v>26.5415668202765</v>
      </c>
    </row>
    <row r="9" spans="1:17" x14ac:dyDescent="0.2">
      <c r="A9" t="s">
        <v>11</v>
      </c>
      <c r="C9" t="s">
        <v>12</v>
      </c>
      <c r="E9">
        <v>73.39</v>
      </c>
      <c r="F9">
        <v>619</v>
      </c>
      <c r="G9">
        <f t="shared" si="4"/>
        <v>45428.41</v>
      </c>
      <c r="H9">
        <f>I51</f>
        <v>1988.0090000000018</v>
      </c>
      <c r="I9">
        <f t="shared" si="0"/>
        <v>47416.419000000009</v>
      </c>
      <c r="K9">
        <v>23834.615000000002</v>
      </c>
      <c r="L9">
        <v>2937</v>
      </c>
      <c r="M9">
        <f>N32</f>
        <v>2963</v>
      </c>
      <c r="O9">
        <f t="shared" si="1"/>
        <v>1.9893931158527212</v>
      </c>
      <c r="P9">
        <f t="shared" si="2"/>
        <v>16.14450766087845</v>
      </c>
      <c r="Q9">
        <f t="shared" si="3"/>
        <v>15.331896726290923</v>
      </c>
    </row>
    <row r="10" spans="1:17" x14ac:dyDescent="0.2">
      <c r="A10" t="s">
        <v>30</v>
      </c>
    </row>
    <row r="12" spans="1:17" x14ac:dyDescent="0.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</row>
    <row r="13" spans="1:17" x14ac:dyDescent="0.2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</row>
    <row r="14" spans="1:17" x14ac:dyDescent="0.2">
      <c r="A14" s="6"/>
      <c r="B14" s="6"/>
      <c r="C14" s="6"/>
      <c r="D14" s="6"/>
      <c r="E14" s="6"/>
      <c r="F14" s="6"/>
      <c r="G14" s="6"/>
      <c r="H14" s="6"/>
      <c r="I14" s="6">
        <f>872+550+608+629</f>
        <v>2659</v>
      </c>
      <c r="J14" s="6"/>
      <c r="K14" s="6"/>
      <c r="L14" s="6"/>
      <c r="M14" s="6"/>
      <c r="N14" s="6"/>
      <c r="O14" s="6"/>
      <c r="P14" s="6"/>
      <c r="Q14" s="6"/>
    </row>
    <row r="15" spans="1:17" x14ac:dyDescent="0.2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</row>
    <row r="16" spans="1:17" x14ac:dyDescent="0.2">
      <c r="A16" s="6" t="s">
        <v>27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>
        <f>15.52+15.68+16.37+16.53</f>
        <v>64.099999999999994</v>
      </c>
      <c r="M16" s="6">
        <f>L16*L191000</f>
        <v>0</v>
      </c>
      <c r="N16" s="6"/>
      <c r="O16" s="6"/>
      <c r="P16" s="6"/>
      <c r="Q16" s="6"/>
    </row>
    <row r="17" spans="1:20" x14ac:dyDescent="0.2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</row>
    <row r="18" spans="1:20" x14ac:dyDescent="0.2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>
        <f>1.72+1.63+2.05+1.99</f>
        <v>7.39</v>
      </c>
      <c r="M18" s="6"/>
      <c r="N18" s="6"/>
      <c r="O18" s="6"/>
      <c r="P18" s="6"/>
      <c r="Q18" s="6"/>
    </row>
    <row r="19" spans="1:20" x14ac:dyDescent="0.2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>
        <f>L18*1000</f>
        <v>7390</v>
      </c>
      <c r="M19" s="6"/>
      <c r="N19" s="6"/>
      <c r="O19" s="6"/>
      <c r="P19" s="6"/>
      <c r="Q19" s="6"/>
    </row>
    <row r="20" spans="1:20" x14ac:dyDescent="0.2">
      <c r="A20" s="6"/>
      <c r="B20" s="6"/>
      <c r="C20" s="6"/>
      <c r="D20" s="6"/>
      <c r="E20" s="6"/>
      <c r="F20" s="6"/>
      <c r="G20" s="6"/>
      <c r="H20" s="6"/>
      <c r="I20" s="6">
        <v>13716</v>
      </c>
      <c r="J20" s="6"/>
      <c r="K20" s="6"/>
      <c r="L20" s="6"/>
      <c r="M20" s="6"/>
      <c r="N20" s="6"/>
      <c r="O20" s="6"/>
      <c r="P20" s="6"/>
      <c r="Q20" s="6"/>
    </row>
    <row r="21" spans="1:20" x14ac:dyDescent="0.2">
      <c r="A21" s="6"/>
      <c r="B21" s="6"/>
      <c r="C21" s="6"/>
      <c r="D21" s="6"/>
      <c r="E21" s="6"/>
      <c r="F21" s="6">
        <f>21237-86717</f>
        <v>-65480</v>
      </c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</row>
    <row r="22" spans="1:20" x14ac:dyDescent="0.2">
      <c r="A22" s="6"/>
      <c r="B22" s="6"/>
      <c r="C22" s="6"/>
      <c r="D22" s="6"/>
      <c r="E22" s="6"/>
      <c r="F22" s="6">
        <f>17030-72067</f>
        <v>-55037</v>
      </c>
      <c r="G22" s="6"/>
      <c r="H22" s="6"/>
      <c r="I22" s="6"/>
      <c r="J22" s="6"/>
      <c r="K22" s="6"/>
      <c r="L22" s="6"/>
      <c r="M22" s="6">
        <v>8109</v>
      </c>
      <c r="N22" s="6"/>
      <c r="O22" s="6"/>
      <c r="P22" s="6"/>
      <c r="Q22" s="6">
        <f>86717+72067+68079+69914</f>
        <v>296777</v>
      </c>
    </row>
    <row r="23" spans="1:20" x14ac:dyDescent="0.2">
      <c r="A23" s="6"/>
      <c r="B23" s="6"/>
      <c r="C23" s="6"/>
      <c r="D23" s="6"/>
      <c r="E23" s="6"/>
      <c r="F23" s="6">
        <f>16383-68079</f>
        <v>-51696</v>
      </c>
      <c r="G23" s="6"/>
      <c r="H23" s="6">
        <v>21.24</v>
      </c>
      <c r="I23" s="6"/>
      <c r="J23" s="6"/>
      <c r="K23" s="6"/>
      <c r="L23" s="6"/>
      <c r="M23" s="6"/>
      <c r="N23" s="6"/>
      <c r="O23" s="6"/>
      <c r="P23" s="6"/>
      <c r="Q23" s="6"/>
    </row>
    <row r="24" spans="1:20" x14ac:dyDescent="0.2">
      <c r="A24" s="6"/>
      <c r="B24" s="6"/>
      <c r="C24" s="6"/>
      <c r="D24" s="6"/>
      <c r="E24" s="6"/>
      <c r="F24" s="6">
        <f>16980-69914</f>
        <v>-52934</v>
      </c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</row>
    <row r="25" spans="1:20" x14ac:dyDescent="0.2">
      <c r="A25" s="6"/>
      <c r="B25" s="6"/>
      <c r="C25" s="6"/>
      <c r="D25" s="6"/>
      <c r="E25" s="6"/>
      <c r="F25" s="6">
        <f>SUM(F21:F24)</f>
        <v>-225147</v>
      </c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</row>
    <row r="26" spans="1:20" x14ac:dyDescent="0.2">
      <c r="A26" s="6"/>
      <c r="B26" s="6"/>
      <c r="C26" s="6"/>
      <c r="D26" s="6"/>
      <c r="E26" s="6"/>
      <c r="F26" s="6"/>
      <c r="G26" s="6"/>
      <c r="H26" s="6"/>
      <c r="I26" s="6"/>
      <c r="J26" s="6"/>
      <c r="K26" s="6">
        <f>1130+1037+1008+989</f>
        <v>4164</v>
      </c>
      <c r="L26" s="6"/>
      <c r="M26" s="6"/>
      <c r="N26" s="6"/>
      <c r="O26" s="6"/>
      <c r="P26" s="6"/>
      <c r="Q26" s="6"/>
      <c r="T26" s="6">
        <f>2511+2355+2461+2426</f>
        <v>9753</v>
      </c>
    </row>
    <row r="27" spans="1:20" x14ac:dyDescent="0.2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</row>
    <row r="28" spans="1:20" x14ac:dyDescent="0.2">
      <c r="A28" s="6"/>
      <c r="B28" s="6"/>
      <c r="C28" s="6"/>
      <c r="D28" s="6"/>
      <c r="E28" s="6"/>
      <c r="F28" s="6">
        <f>G5+H5</f>
        <v>19285.740000000005</v>
      </c>
      <c r="G28" s="6"/>
      <c r="H28" s="6"/>
      <c r="I28" s="6">
        <f>-1.13*L5</f>
        <v>-9163.1699999999983</v>
      </c>
      <c r="J28" s="6"/>
      <c r="K28" s="6"/>
      <c r="L28" s="6"/>
      <c r="M28" s="6"/>
      <c r="N28" s="6"/>
      <c r="O28" s="6"/>
      <c r="P28" s="6"/>
      <c r="Q28" s="6"/>
    </row>
    <row r="29" spans="1:20" x14ac:dyDescent="0.2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>
        <f>8209+8506+8828+9591</f>
        <v>35134</v>
      </c>
      <c r="N29" s="6"/>
      <c r="O29" s="6"/>
      <c r="P29" s="6"/>
      <c r="Q29" s="6"/>
    </row>
    <row r="30" spans="1:20" x14ac:dyDescent="0.2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</row>
    <row r="31" spans="1:20" x14ac:dyDescent="0.2">
      <c r="A31" s="6"/>
      <c r="B31" s="6"/>
      <c r="C31" s="6"/>
      <c r="D31" s="6"/>
      <c r="E31" s="6"/>
      <c r="F31" s="6"/>
      <c r="G31" s="6"/>
      <c r="H31" s="6"/>
      <c r="I31" s="6"/>
      <c r="J31" s="6"/>
      <c r="K31" s="6">
        <f>86717+72067+68079+69914</f>
        <v>296777</v>
      </c>
      <c r="L31" s="6"/>
      <c r="M31" s="6"/>
      <c r="N31" s="6"/>
      <c r="O31" s="6"/>
      <c r="P31" s="6"/>
      <c r="Q31" s="6"/>
    </row>
    <row r="32" spans="1:20" x14ac:dyDescent="0.2">
      <c r="A32" s="6"/>
      <c r="B32" s="6"/>
      <c r="C32" s="6"/>
      <c r="D32" s="6"/>
      <c r="E32" s="6"/>
      <c r="F32" s="6"/>
      <c r="G32" s="6"/>
      <c r="H32" s="6"/>
      <c r="I32" s="6"/>
      <c r="J32" s="6"/>
      <c r="K32" s="6">
        <f>21237+17030+16383+16980</f>
        <v>71630</v>
      </c>
      <c r="L32" s="6"/>
      <c r="M32" s="6"/>
      <c r="N32" s="6">
        <f>538+1946+284+195</f>
        <v>2963</v>
      </c>
      <c r="O32" s="6"/>
      <c r="P32" s="6"/>
      <c r="Q32" s="6"/>
    </row>
    <row r="33" spans="1:17" x14ac:dyDescent="0.2">
      <c r="A33" s="6"/>
      <c r="B33" s="6"/>
      <c r="C33" s="6"/>
      <c r="D33" s="6"/>
      <c r="E33" s="6"/>
      <c r="F33" s="6"/>
      <c r="G33" s="6"/>
      <c r="H33" s="6"/>
      <c r="I33" s="6">
        <f>G9</f>
        <v>45428.41</v>
      </c>
      <c r="J33" s="6"/>
      <c r="K33" s="6">
        <f>K32-K31</f>
        <v>-225147</v>
      </c>
      <c r="L33" s="6"/>
      <c r="M33" s="6"/>
      <c r="N33" s="6"/>
      <c r="O33" s="6"/>
      <c r="P33" s="6"/>
      <c r="Q33" s="6"/>
    </row>
    <row r="34" spans="1:17" x14ac:dyDescent="0.2">
      <c r="A34" s="6"/>
      <c r="B34" s="6"/>
      <c r="C34" s="6"/>
      <c r="D34" s="6"/>
      <c r="E34" s="6"/>
      <c r="F34" s="6"/>
      <c r="G34" s="6"/>
      <c r="H34" s="6"/>
      <c r="I34" s="6">
        <f>I33+K33</f>
        <v>-179718.59</v>
      </c>
      <c r="J34" s="6"/>
      <c r="K34" s="6"/>
      <c r="L34" s="6"/>
      <c r="M34" s="6"/>
      <c r="N34" s="6"/>
      <c r="O34" s="6"/>
      <c r="P34" s="6"/>
      <c r="Q34" s="6"/>
    </row>
    <row r="35" spans="1:17" x14ac:dyDescent="0.2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</row>
    <row r="36" spans="1:17" x14ac:dyDescent="0.2">
      <c r="I36" s="6"/>
    </row>
    <row r="37" spans="1:17" x14ac:dyDescent="0.2">
      <c r="I37" s="6"/>
    </row>
    <row r="38" spans="1:17" x14ac:dyDescent="0.2">
      <c r="I38" s="6"/>
    </row>
    <row r="39" spans="1:17" x14ac:dyDescent="0.2">
      <c r="I39" s="6">
        <f>4380+6681+6219+5855</f>
        <v>23135</v>
      </c>
    </row>
    <row r="40" spans="1:17" x14ac:dyDescent="0.2">
      <c r="I40" s="6">
        <f>52+53+54+52</f>
        <v>211</v>
      </c>
    </row>
    <row r="41" spans="1:17" x14ac:dyDescent="0.2">
      <c r="I41" s="6">
        <f>I39+I40</f>
        <v>23346</v>
      </c>
    </row>
    <row r="42" spans="1:17" x14ac:dyDescent="0.2">
      <c r="I42" s="6"/>
    </row>
    <row r="43" spans="1:17" x14ac:dyDescent="0.2">
      <c r="I43" s="6">
        <f>7433+9381+9436+9055</f>
        <v>35305</v>
      </c>
    </row>
    <row r="44" spans="1:17" x14ac:dyDescent="0.2">
      <c r="I44" s="6">
        <f>I41-I43</f>
        <v>-11959</v>
      </c>
    </row>
    <row r="45" spans="1:17" x14ac:dyDescent="0.2">
      <c r="I45" s="6"/>
    </row>
    <row r="46" spans="1:17" x14ac:dyDescent="0.2">
      <c r="I46" s="6"/>
    </row>
    <row r="47" spans="1:17" x14ac:dyDescent="0.2">
      <c r="I47" s="6"/>
    </row>
    <row r="48" spans="1:17" x14ac:dyDescent="0.2">
      <c r="I48" s="6"/>
    </row>
    <row r="49" spans="9:9" x14ac:dyDescent="0.2">
      <c r="I49" s="6">
        <f>6122.475+6044.957+7918.613+7409.195</f>
        <v>27495.24</v>
      </c>
    </row>
    <row r="50" spans="9:9" x14ac:dyDescent="0.2">
      <c r="I50" s="6">
        <f>-11322.038+12337.561+12258.119+12233.589</f>
        <v>25507.231</v>
      </c>
    </row>
    <row r="51" spans="9:9" x14ac:dyDescent="0.2">
      <c r="I51" s="6">
        <f>I49-I50</f>
        <v>1988.0090000000018</v>
      </c>
    </row>
    <row r="52" spans="9:9" x14ac:dyDescent="0.2">
      <c r="I52" s="6"/>
    </row>
    <row r="53" spans="9:9" x14ac:dyDescent="0.2">
      <c r="I53" s="6"/>
    </row>
    <row r="54" spans="9:9" x14ac:dyDescent="0.2">
      <c r="I54" s="6"/>
    </row>
    <row r="55" spans="9:9" x14ac:dyDescent="0.2">
      <c r="I55" s="6"/>
    </row>
    <row r="56" spans="9:9" x14ac:dyDescent="0.2">
      <c r="I56" s="6"/>
    </row>
    <row r="57" spans="9:9" x14ac:dyDescent="0.2">
      <c r="I57" s="6"/>
    </row>
    <row r="58" spans="9:9" x14ac:dyDescent="0.2">
      <c r="I58" s="6"/>
    </row>
    <row r="59" spans="9:9" x14ac:dyDescent="0.2">
      <c r="I59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Comps-Robinhood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Reese Kurt</dc:creator>
  <cp:lastModifiedBy>Reese Kurt</cp:lastModifiedBy>
  <dcterms:created xsi:type="dcterms:W3CDTF">2025-08-04T17:02:27Z</dcterms:created>
  <dcterms:modified xsi:type="dcterms:W3CDTF">2025-11-06T17:50:43Z</dcterms:modified>
</cp:coreProperties>
</file>