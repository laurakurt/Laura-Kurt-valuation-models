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umass-my.sharepoint.com/personal/lkurt_umass_edu/Documents/"/>
    </mc:Choice>
  </mc:AlternateContent>
  <xr:revisionPtr revIDLastSave="1153" documentId="8_{C9F5F966-434D-FC41-A0D4-325B38732933}" xr6:coauthVersionLast="47" xr6:coauthVersionMax="47" xr10:uidLastSave="{CF90C0F0-17D7-C94E-A345-BD1F76BFD7E4}"/>
  <bookViews>
    <workbookView xWindow="1760" yWindow="8000" windowWidth="23420" windowHeight="18000" firstSheet="5" activeTab="7" xr2:uid="{369C2E72-C42C-47E9-B4AA-6AAADD99EA75}"/>
  </bookViews>
  <sheets>
    <sheet name="Assumptions" sheetId="13" r:id="rId1"/>
    <sheet name="Income Statement " sheetId="4" r:id="rId2"/>
    <sheet name="Balance Sheet" sheetId="5" r:id="rId3"/>
    <sheet name="Cash Flow " sheetId="6" r:id="rId4"/>
    <sheet name="Free Cash Flows" sheetId="7" r:id="rId5"/>
    <sheet name="Fixed Assets " sheetId="8" r:id="rId6"/>
    <sheet name="Working Capital " sheetId="9" r:id="rId7"/>
    <sheet name="DCF" sheetId="11" r:id="rId8"/>
    <sheet name="Sources " sheetId="12" r:id="rId9"/>
  </sheets>
  <externalReferences>
    <externalReference r:id="rId10"/>
  </externalReferences>
  <definedNames>
    <definedName name="_Order1" hidden="1">255</definedName>
    <definedName name="CurrentMonth">#REF!</definedName>
    <definedName name="fafa" localSheetId="5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fafa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42186.5323148148</definedName>
    <definedName name="IQ_QTD" hidden="1">750000</definedName>
    <definedName name="IQ_TODAY" hidden="1">0</definedName>
    <definedName name="IQ_YTDMONTH" hidden="1">130000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s" localSheetId="5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ss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StartDate">44227</definedName>
    <definedName name="wrn.reporte." localSheetId="5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wrn.reporte.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7" l="1"/>
  <c r="C32" i="11"/>
  <c r="C37" i="11"/>
  <c r="P2" i="11"/>
  <c r="D15" i="11"/>
  <c r="D16" i="11"/>
  <c r="D19" i="11"/>
  <c r="P3" i="11"/>
  <c r="D18" i="11"/>
  <c r="I7" i="11"/>
  <c r="M3" i="11"/>
  <c r="I3" i="11" l="1"/>
  <c r="C46" i="11"/>
  <c r="L22" i="9"/>
  <c r="L23" i="9"/>
  <c r="J23" i="9"/>
  <c r="J22" i="9"/>
  <c r="C44" i="11"/>
  <c r="D22" i="11"/>
  <c r="F23" i="9" l="1"/>
  <c r="I9" i="7"/>
  <c r="J15" i="9"/>
  <c r="H15" i="9"/>
  <c r="I15" i="9"/>
  <c r="F10" i="8"/>
  <c r="F11" i="8"/>
  <c r="E11" i="8"/>
  <c r="D11" i="8"/>
  <c r="C11" i="8"/>
  <c r="B11" i="8"/>
  <c r="E10" i="8"/>
  <c r="D10" i="8"/>
  <c r="C10" i="8"/>
  <c r="B10" i="8"/>
  <c r="G5" i="8"/>
  <c r="G4" i="8"/>
  <c r="G3" i="8"/>
  <c r="G6" i="8" s="1"/>
  <c r="H3" i="8" s="1"/>
  <c r="C43" i="11"/>
  <c r="C41" i="11"/>
  <c r="C33" i="11"/>
  <c r="C34" i="11" s="1"/>
  <c r="E22" i="9"/>
  <c r="D22" i="9"/>
  <c r="F22" i="9"/>
  <c r="G22" i="9"/>
  <c r="H22" i="9" s="1"/>
  <c r="I22" i="9" s="1"/>
  <c r="K22" i="9" s="1"/>
  <c r="C22" i="9"/>
  <c r="E3" i="11"/>
  <c r="F3" i="11"/>
  <c r="G3" i="11"/>
  <c r="H3" i="11"/>
  <c r="D3" i="11"/>
  <c r="H20" i="7"/>
  <c r="L20" i="9"/>
  <c r="K20" i="9"/>
  <c r="J20" i="9"/>
  <c r="I20" i="9"/>
  <c r="L19" i="9"/>
  <c r="K19" i="9"/>
  <c r="J19" i="9"/>
  <c r="I19" i="9"/>
  <c r="H19" i="9"/>
  <c r="H17" i="7"/>
  <c r="F6" i="9"/>
  <c r="D23" i="9"/>
  <c r="E23" i="9"/>
  <c r="G23" i="9"/>
  <c r="C23" i="9"/>
  <c r="G19" i="9"/>
  <c r="D20" i="9"/>
  <c r="E20" i="9"/>
  <c r="F20" i="9"/>
  <c r="G20" i="9"/>
  <c r="D19" i="9"/>
  <c r="E19" i="9"/>
  <c r="F19" i="9"/>
  <c r="D18" i="9"/>
  <c r="E18" i="9"/>
  <c r="F18" i="9"/>
  <c r="G18" i="9"/>
  <c r="H18" i="9" s="1"/>
  <c r="C20" i="9"/>
  <c r="H20" i="9" s="1"/>
  <c r="C19" i="9"/>
  <c r="C18" i="9"/>
  <c r="G10" i="9"/>
  <c r="F10" i="9"/>
  <c r="E10" i="9"/>
  <c r="D10" i="9"/>
  <c r="C10" i="9"/>
  <c r="G6" i="9"/>
  <c r="E6" i="9"/>
  <c r="D6" i="9"/>
  <c r="C6" i="9"/>
  <c r="G20" i="7"/>
  <c r="D20" i="7"/>
  <c r="F20" i="7"/>
  <c r="E20" i="7"/>
  <c r="D17" i="7"/>
  <c r="J14" i="7"/>
  <c r="K14" i="7"/>
  <c r="L14" i="7"/>
  <c r="M14" i="7"/>
  <c r="I14" i="7"/>
  <c r="J13" i="7"/>
  <c r="K13" i="7"/>
  <c r="L13" i="7"/>
  <c r="M13" i="7"/>
  <c r="I13" i="7"/>
  <c r="H13" i="7"/>
  <c r="I12" i="7"/>
  <c r="J11" i="7"/>
  <c r="K11" i="7"/>
  <c r="L11" i="7"/>
  <c r="M11" i="7"/>
  <c r="I11" i="7"/>
  <c r="H9" i="7"/>
  <c r="G9" i="7"/>
  <c r="F9" i="7"/>
  <c r="E9" i="7"/>
  <c r="D9" i="7"/>
  <c r="D13" i="7"/>
  <c r="J7" i="7"/>
  <c r="J9" i="7"/>
  <c r="K9" i="7"/>
  <c r="L9" i="7"/>
  <c r="M9" i="7"/>
  <c r="J8" i="7"/>
  <c r="K8" i="7"/>
  <c r="L8" i="7"/>
  <c r="M8" i="7"/>
  <c r="I8" i="7"/>
  <c r="K7" i="7"/>
  <c r="L7" i="7"/>
  <c r="M7" i="7"/>
  <c r="I7" i="7"/>
  <c r="G24" i="7"/>
  <c r="J5" i="7"/>
  <c r="K5" i="7"/>
  <c r="L5" i="7"/>
  <c r="M5" i="7"/>
  <c r="I5" i="7"/>
  <c r="J4" i="7"/>
  <c r="K4" i="7"/>
  <c r="L4" i="7"/>
  <c r="M4" i="7"/>
  <c r="I4" i="7"/>
  <c r="K3" i="7"/>
  <c r="L3" i="7"/>
  <c r="M3" i="7"/>
  <c r="J3" i="7"/>
  <c r="I3" i="7"/>
  <c r="E24" i="7"/>
  <c r="F24" i="7"/>
  <c r="M25" i="7"/>
  <c r="L25" i="7"/>
  <c r="K25" i="7"/>
  <c r="J25" i="7"/>
  <c r="I26" i="7"/>
  <c r="J26" i="7" s="1"/>
  <c r="K26" i="7" s="1"/>
  <c r="L26" i="7" s="1"/>
  <c r="M26" i="7" s="1"/>
  <c r="H26" i="7"/>
  <c r="H24" i="7"/>
  <c r="E25" i="7"/>
  <c r="I25" i="7"/>
  <c r="G17" i="7"/>
  <c r="F17" i="7"/>
  <c r="E17" i="7"/>
  <c r="F8" i="7"/>
  <c r="G8" i="7"/>
  <c r="H8" i="7"/>
  <c r="E8" i="7"/>
  <c r="D8" i="7"/>
  <c r="E13" i="7"/>
  <c r="F13" i="7"/>
  <c r="G13" i="7"/>
  <c r="H27" i="7"/>
  <c r="G27" i="7"/>
  <c r="F27" i="7"/>
  <c r="E27" i="7"/>
  <c r="D27" i="7"/>
  <c r="G26" i="7"/>
  <c r="F26" i="7"/>
  <c r="E26" i="7"/>
  <c r="D26" i="7"/>
  <c r="H25" i="7"/>
  <c r="G25" i="7"/>
  <c r="F25" i="7"/>
  <c r="D25" i="7"/>
  <c r="A30" i="7"/>
  <c r="H5" i="7"/>
  <c r="G5" i="7"/>
  <c r="F5" i="7"/>
  <c r="E5" i="7"/>
  <c r="D5" i="7"/>
  <c r="J18" i="9" l="1"/>
  <c r="K18" i="9" s="1"/>
  <c r="I18" i="9"/>
  <c r="H23" i="9"/>
  <c r="K15" i="9"/>
  <c r="H3" i="9"/>
  <c r="I16" i="9"/>
  <c r="I8" i="9" s="1"/>
  <c r="I3" i="9"/>
  <c r="H4" i="8"/>
  <c r="H6" i="8" s="1"/>
  <c r="I3" i="8" s="1"/>
  <c r="H5" i="8"/>
  <c r="C36" i="11"/>
  <c r="H9" i="9"/>
  <c r="I23" i="9"/>
  <c r="I9" i="9" s="1"/>
  <c r="H16" i="9"/>
  <c r="J16" i="9"/>
  <c r="K16" i="9"/>
  <c r="H5" i="9"/>
  <c r="J27" i="7"/>
  <c r="L15" i="9" l="1"/>
  <c r="L16" i="9" s="1"/>
  <c r="L18" i="9"/>
  <c r="I5" i="8"/>
  <c r="I4" i="8"/>
  <c r="I6" i="8" s="1"/>
  <c r="J3" i="8" s="1"/>
  <c r="I5" i="9"/>
  <c r="I4" i="9"/>
  <c r="K4" i="9"/>
  <c r="I10" i="9"/>
  <c r="J19" i="7" s="1"/>
  <c r="J8" i="9"/>
  <c r="J4" i="9"/>
  <c r="H4" i="9"/>
  <c r="H6" i="9" s="1"/>
  <c r="I18" i="7" s="1"/>
  <c r="H8" i="9"/>
  <c r="H10" i="9" s="1"/>
  <c r="I19" i="7" s="1"/>
  <c r="J3" i="9"/>
  <c r="J12" i="7"/>
  <c r="K27" i="7"/>
  <c r="L8" i="9" l="1"/>
  <c r="L4" i="9"/>
  <c r="I17" i="7"/>
  <c r="I16" i="7" s="1"/>
  <c r="I20" i="7" s="1"/>
  <c r="J5" i="8"/>
  <c r="J4" i="8"/>
  <c r="J6" i="8" s="1"/>
  <c r="K3" i="8" s="1"/>
  <c r="I6" i="9"/>
  <c r="J18" i="7" s="1"/>
  <c r="J17" i="7" s="1"/>
  <c r="J16" i="7" s="1"/>
  <c r="J20" i="7" s="1"/>
  <c r="J3" i="11" s="1"/>
  <c r="J7" i="11" s="1"/>
  <c r="K8" i="9"/>
  <c r="L3" i="9"/>
  <c r="K3" i="9"/>
  <c r="J9" i="9"/>
  <c r="J10" i="9" s="1"/>
  <c r="K19" i="7" s="1"/>
  <c r="K23" i="9"/>
  <c r="J5" i="9"/>
  <c r="J6" i="9" s="1"/>
  <c r="K18" i="7" s="1"/>
  <c r="K12" i="7"/>
  <c r="L27" i="7"/>
  <c r="K17" i="7" l="1"/>
  <c r="K4" i="8"/>
  <c r="K6" i="8" s="1"/>
  <c r="K5" i="8"/>
  <c r="K16" i="7"/>
  <c r="K20" i="7" s="1"/>
  <c r="K3" i="11" s="1"/>
  <c r="K7" i="11" s="1"/>
  <c r="L9" i="9"/>
  <c r="L10" i="9" s="1"/>
  <c r="M19" i="7" s="1"/>
  <c r="K9" i="9"/>
  <c r="K10" i="9" s="1"/>
  <c r="L19" i="7" s="1"/>
  <c r="L5" i="9"/>
  <c r="L6" i="9" s="1"/>
  <c r="M18" i="7" s="1"/>
  <c r="K5" i="9"/>
  <c r="K6" i="9" s="1"/>
  <c r="L18" i="7" s="1"/>
  <c r="L12" i="7"/>
  <c r="M27" i="7"/>
  <c r="M12" i="7" s="1"/>
  <c r="M17" i="7" l="1"/>
  <c r="L17" i="7"/>
  <c r="L16" i="7" s="1"/>
  <c r="L20" i="7" s="1"/>
  <c r="L3" i="11" s="1"/>
  <c r="L7" i="11" s="1"/>
  <c r="M16" i="7" l="1"/>
  <c r="M20" i="7" s="1"/>
  <c r="M7" i="11" l="1"/>
  <c r="D20" i="11" l="1"/>
  <c r="D24" i="11" s="1"/>
  <c r="D26" i="11" s="1"/>
</calcChain>
</file>

<file path=xl/sharedStrings.xml><?xml version="1.0" encoding="utf-8"?>
<sst xmlns="http://schemas.openxmlformats.org/spreadsheetml/2006/main" count="369" uniqueCount="256">
  <si>
    <t>Revenue</t>
  </si>
  <si>
    <t>Assets</t>
  </si>
  <si>
    <t>Net Income</t>
  </si>
  <si>
    <t>Current Assets</t>
  </si>
  <si>
    <t>Depreciation</t>
  </si>
  <si>
    <t>Prepaid Expenses</t>
  </si>
  <si>
    <t>Accounts Payable</t>
  </si>
  <si>
    <t>Accumulated Depreciation</t>
  </si>
  <si>
    <t>Intangible Assets</t>
  </si>
  <si>
    <t>Research &amp; Development</t>
  </si>
  <si>
    <t>Interest Expense</t>
  </si>
  <si>
    <t>Retained Earnings</t>
  </si>
  <si>
    <t xml:space="preserve">COGS </t>
  </si>
  <si>
    <t>Other SG&amp;A</t>
  </si>
  <si>
    <t>Fiscal year is February-January. All values USD Millions.</t>
  </si>
  <si>
    <t>5-year trend</t>
  </si>
  <si>
    <t>Sales/Revenue</t>
  </si>
  <si>
    <t>Sales Growth</t>
  </si>
  <si>
    <t>-</t>
  </si>
  <si>
    <t>Cost of Goods Sold (COGS) incl. D&amp;A</t>
  </si>
  <si>
    <t>COGS excluding D&amp;A</t>
  </si>
  <si>
    <t>Depreciation &amp; Amortization Expense</t>
  </si>
  <si>
    <t>Amortization of Intangibles</t>
  </si>
  <si>
    <t>COGS Growth</t>
  </si>
  <si>
    <t>Gross Income</t>
  </si>
  <si>
    <t>Gross Income Growth</t>
  </si>
  <si>
    <t>Gross Profit Margin</t>
  </si>
  <si>
    <t>SG&amp;A Expense</t>
  </si>
  <si>
    <t>SGA Growth</t>
  </si>
  <si>
    <t>EBIT</t>
  </si>
  <si>
    <t>Unusual Expense</t>
  </si>
  <si>
    <t>Non Operating Income/Expense</t>
  </si>
  <si>
    <t>Non-Operating Interest Income</t>
  </si>
  <si>
    <t>Interest Expense Growth</t>
  </si>
  <si>
    <t>Gross Interest Expense</t>
  </si>
  <si>
    <t>Pretax Income</t>
  </si>
  <si>
    <t>Pretax Income Growth</t>
  </si>
  <si>
    <t>Pretax Margin</t>
  </si>
  <si>
    <t>Income Tax</t>
  </si>
  <si>
    <t>Income Tax - Current Domestic</t>
  </si>
  <si>
    <t>Income Tax - Current Foreign</t>
  </si>
  <si>
    <t>Income Tax - Deferred Domestic</t>
  </si>
  <si>
    <t>Income Tax - Deferred Foreign</t>
  </si>
  <si>
    <t>Consolidated Net Income</t>
  </si>
  <si>
    <t>Net Income Growth</t>
  </si>
  <si>
    <t>Net Margin</t>
  </si>
  <si>
    <t>Net Income After Extraordinaries</t>
  </si>
  <si>
    <t>Net Income Available to Common</t>
  </si>
  <si>
    <t>EPS (Basic)</t>
  </si>
  <si>
    <t>EPS (Basic) Growth</t>
  </si>
  <si>
    <t>Basic Shares Outstanding</t>
  </si>
  <si>
    <t>EPS (Diluted)</t>
  </si>
  <si>
    <t>EPS (Diluted) Growth</t>
  </si>
  <si>
    <t>Diluted Shares Outstanding</t>
  </si>
  <si>
    <t>EBITDA</t>
  </si>
  <si>
    <t>EBITDA Growth</t>
  </si>
  <si>
    <t>EBITDA Margin</t>
  </si>
  <si>
    <t>Cash &amp; Short Term Investments</t>
  </si>
  <si>
    <t>Cash Only</t>
  </si>
  <si>
    <t>Cash &amp; Short Term Investments Growth</t>
  </si>
  <si>
    <t>Cash &amp; ST Investments / Total Assets</t>
  </si>
  <si>
    <t>Total Accounts Receivable</t>
  </si>
  <si>
    <t>Accounts Receivables, Net</t>
  </si>
  <si>
    <t>Accounts Receivables, Gross</t>
  </si>
  <si>
    <t>Bad Debt/Doubtful Accounts</t>
  </si>
  <si>
    <t>Accounts Receivable Growth</t>
  </si>
  <si>
    <t>Accounts Receivable Turnover</t>
  </si>
  <si>
    <t>Inventories</t>
  </si>
  <si>
    <t>Finished Goods</t>
  </si>
  <si>
    <t>Work in Progress</t>
  </si>
  <si>
    <t>Raw Materials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</si>
  <si>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</si>
  <si>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</si>
  <si>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</si>
  <si>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</si>
  <si>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</si>
  <si>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</si>
  <si>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</si>
  <si>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</si>
  <si>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</si>
  <si>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Computer Software and Equipment</t>
  </si>
  <si>
    <t>Other Property, Plant &amp; Equipment</t>
  </si>
  <si>
    <t>Total Investments and Advances</t>
  </si>
  <si>
    <t>Other Long-Term Investments</t>
  </si>
  <si>
    <t>Net Goodwill</t>
  </si>
  <si>
    <t>Net Other Intangibles</t>
  </si>
  <si>
    <t>Other Assets</t>
  </si>
  <si>
    <t>Deferred Charges</t>
  </si>
  <si>
    <t>Tangible Other Assets</t>
  </si>
  <si>
    <t>Total Assets</t>
  </si>
  <si>
    <t>Assets - Total - Growth</t>
  </si>
  <si>
    <t>Asset Turnover</t>
  </si>
  <si>
    <t>Return On Average Assets</t>
  </si>
  <si>
    <t>Liabilities &amp; Shareholders' Equity</t>
  </si>
  <si>
    <t>All values USD Millions.</t>
  </si>
  <si>
    <t>ST Debt &amp; Current Portion LT Debt</t>
  </si>
  <si>
    <t>Short Term Debt</t>
  </si>
  <si>
    <t>Accounts Payable Growth</t>
  </si>
  <si>
    <t>Income Tax Payable</t>
  </si>
  <si>
    <t>Other Current Liabilities</t>
  </si>
  <si>
    <t>Accrued Payroll</t>
  </si>
  <si>
    <t>Miscellaneous Current Liabilities</t>
  </si>
  <si>
    <t>Total Current Liabilities</t>
  </si>
  <si>
    <t>Current Ratio</t>
  </si>
  <si>
    <t>Quick Ratio</t>
  </si>
  <si>
    <t>Cash Ratio</t>
  </si>
  <si>
    <t>Long-Term Debt</t>
  </si>
  <si>
    <t>Long-Term Debt excl. Capitalized Leases</t>
  </si>
  <si>
    <t>Non-Convertible Debt</t>
  </si>
  <si>
    <t>Provision for Risks &amp; Charges</t>
  </si>
  <si>
    <t>Deferred Taxes</t>
  </si>
  <si>
    <t>Deferred Taxes - Credit</t>
  </si>
  <si>
    <t>Deferred Taxes - Debit</t>
  </si>
  <si>
    <t>Other Liabilities</t>
  </si>
  <si>
    <t>Other Liabilities (excl. Deferred Income)</t>
  </si>
  <si>
    <t>Deferred Income</t>
  </si>
  <si>
    <t>Total Liabilities</t>
  </si>
  <si>
    <t>Total Liabilities / Total Assets</t>
  </si>
  <si>
    <t>Common Equity (Total)</t>
  </si>
  <si>
    <t>Common Stock Par/Carry Value</t>
  </si>
  <si>
    <t>Additional Paid-In Capital/Capital Surplus</t>
  </si>
  <si>
    <t>Other Appropriated Reserves</t>
  </si>
  <si>
    <t>Treasury Stock</t>
  </si>
  <si>
    <t>Common Equity / Total Assets</t>
  </si>
  <si>
    <t>Total Shareholders' Equity</t>
  </si>
  <si>
    <t>Total Shareholders' Equity / Total Assets</t>
  </si>
  <si>
    <t>Total Equity</t>
  </si>
  <si>
    <t>Net Income before Extraordinaries</t>
  </si>
  <si>
    <t>Depreciation, Depletion &amp; Amortization</t>
  </si>
  <si>
    <t>Depreciation and Depletion</t>
  </si>
  <si>
    <t>Amortization of Intangible Assets</t>
  </si>
  <si>
    <t>Deferred Taxes &amp; Investment Tax Credit</t>
  </si>
  <si>
    <t>Other Funds</t>
  </si>
  <si>
    <t>Funds from Operations</t>
  </si>
  <si>
    <t>Changes in Working Capital</t>
  </si>
  <si>
    <t>Receivables</t>
  </si>
  <si>
    <t>Other Accruals</t>
  </si>
  <si>
    <t>Other Assets/Liabilities</t>
  </si>
  <si>
    <t>Net Operating Cash Flow</t>
  </si>
  <si>
    <t>Net Operating Cash Flow Growth</t>
  </si>
  <si>
    <t>Net Operating Cash Flow / Sales</t>
  </si>
  <si>
    <t>Operating Activities</t>
  </si>
  <si>
    <t>Investing Activities</t>
  </si>
  <si>
    <t>Capital Expenditures</t>
  </si>
  <si>
    <t>Capital Expenditures (Fixed Assets)</t>
  </si>
  <si>
    <t>Capital Expenditures Growth</t>
  </si>
  <si>
    <t>Capital Expenditures / Sales</t>
  </si>
  <si>
    <t>Net Assets from Acquisitions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</si>
  <si>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</si>
  <si>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</si>
  <si>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</si>
  <si>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</si>
  <si>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</si>
  <si>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</si>
  <si>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Net Investing Cash Flow Growth</t>
  </si>
  <si>
    <t>Net Investing Cash Flow / Sales</t>
  </si>
  <si>
    <t>Cash Dividends Paid - Total</t>
  </si>
  <si>
    <t>Common Dividends</t>
  </si>
  <si>
    <t>Change in Capital Stock</t>
  </si>
  <si>
    <t>Repurchase of Common &amp; Preferred Stk.</t>
  </si>
  <si>
    <t>Sale of Common &amp; Preferred Stock</t>
  </si>
  <si>
    <t>Other Proceeds from Sale of Stock</t>
  </si>
  <si>
    <t>Issuance/Reduction of Debt, Net</t>
  </si>
  <si>
    <t>Change in Long-Term Debt</t>
  </si>
  <si>
    <t>Issuance of Long-Term Debt</t>
  </si>
  <si>
    <t>Reduction in Long-Term Debt</t>
  </si>
  <si>
    <t>Net Financing Cash Flow</t>
  </si>
  <si>
    <t>Net Financing Cash Flow Growth</t>
  </si>
  <si>
    <t>Net Financing Cash Flow / Sales</t>
  </si>
  <si>
    <t>Net Change in Cash</t>
  </si>
  <si>
    <t>Free Cash Flow</t>
  </si>
  <si>
    <t>Free Cash Flow Growth</t>
  </si>
  <si>
    <t>Free Cash Flow Yield</t>
  </si>
  <si>
    <t>Financing Activities</t>
  </si>
  <si>
    <t xml:space="preserve">Unlevered FreeCash Flow </t>
  </si>
  <si>
    <t xml:space="preserve">Fiscal year </t>
  </si>
  <si>
    <t xml:space="preserve">Revenue </t>
  </si>
  <si>
    <t xml:space="preserve">Gross Profit </t>
  </si>
  <si>
    <t xml:space="preserve">Operating Exp </t>
  </si>
  <si>
    <t>SG&amp;A Exp</t>
  </si>
  <si>
    <t xml:space="preserve">Total Operating exp </t>
  </si>
  <si>
    <t xml:space="preserve">Depreciation&amp;Amortization </t>
  </si>
  <si>
    <t>Operatinhg Profit(EBIT)</t>
  </si>
  <si>
    <t>Operating Taxes</t>
  </si>
  <si>
    <t>NOPAT</t>
  </si>
  <si>
    <t>(+) D&amp;A</t>
  </si>
  <si>
    <t>(-)Capex</t>
  </si>
  <si>
    <t>(-)change in nwc</t>
  </si>
  <si>
    <t xml:space="preserve">NWC </t>
  </si>
  <si>
    <t xml:space="preserve">Current operating assents </t>
  </si>
  <si>
    <t>current operating liab</t>
  </si>
  <si>
    <t xml:space="preserve">free cash flow </t>
  </si>
  <si>
    <t>Assumptions</t>
  </si>
  <si>
    <t xml:space="preserve">fiscal year </t>
  </si>
  <si>
    <t>COGS %of revenue</t>
  </si>
  <si>
    <t>SG&amp;A % of Revenue</t>
  </si>
  <si>
    <t xml:space="preserve">tax %of EBIT </t>
  </si>
  <si>
    <t xml:space="preserve">revenue growth </t>
  </si>
  <si>
    <t xml:space="preserve"> </t>
  </si>
  <si>
    <t>https://finance.yahoo.com/news/prediction-nvidia-soar-over-next-162100138.html</t>
  </si>
  <si>
    <t>\</t>
  </si>
  <si>
    <t>beg PP&amp;E</t>
  </si>
  <si>
    <t>D&amp;A</t>
  </si>
  <si>
    <t xml:space="preserve">Cap Ex </t>
  </si>
  <si>
    <t>Ending PP&amp;E</t>
  </si>
  <si>
    <t xml:space="preserve">Assumptions </t>
  </si>
  <si>
    <t>D&amp;A as % of beg PPE</t>
  </si>
  <si>
    <t>CapEx as a % of PP&amp;E</t>
  </si>
  <si>
    <t xml:space="preserve">Net Working Capital </t>
  </si>
  <si>
    <t>Fiscal Year</t>
  </si>
  <si>
    <t xml:space="preserve">Accounts Recievable </t>
  </si>
  <si>
    <t xml:space="preserve">Merchandise Inventory </t>
  </si>
  <si>
    <t xml:space="preserve">Other Current Assets </t>
  </si>
  <si>
    <t xml:space="preserve">Accounts payable </t>
  </si>
  <si>
    <t xml:space="preserve">Other Current Liabilities </t>
  </si>
  <si>
    <t>Current Liab</t>
  </si>
  <si>
    <t xml:space="preserve">assumptions </t>
  </si>
  <si>
    <t>COGS</t>
  </si>
  <si>
    <t>Days Sales Oustanding (DSO)</t>
  </si>
  <si>
    <t>Days Inventory Outstanding (DIO)</t>
  </si>
  <si>
    <t>Days Payable Outstanding (DPO)</t>
  </si>
  <si>
    <t>Other current assets as % of rev</t>
  </si>
  <si>
    <t>other current liab as % of rev</t>
  </si>
  <si>
    <t>Unlevered Free Cash Flow (mm)</t>
  </si>
  <si>
    <t xml:space="preserve">Projecton Year </t>
  </si>
  <si>
    <t xml:space="preserve">Present Value of Free Cash Flow </t>
  </si>
  <si>
    <t xml:space="preserve">Implied Share Price Calculator </t>
  </si>
  <si>
    <t>Sum of PV of FCF</t>
  </si>
  <si>
    <t>Growth Rate</t>
  </si>
  <si>
    <t xml:space="preserve">Terminal Value </t>
  </si>
  <si>
    <t xml:space="preserve">PV of Terminal Value </t>
  </si>
  <si>
    <t xml:space="preserve">Enterprise Value </t>
  </si>
  <si>
    <t>(+) Cash</t>
  </si>
  <si>
    <t xml:space="preserve">(-) debt </t>
  </si>
  <si>
    <t>(-) minority interest</t>
  </si>
  <si>
    <t xml:space="preserve">Equity Value </t>
  </si>
  <si>
    <t xml:space="preserve">Diluted Shares Outstanding </t>
  </si>
  <si>
    <t>Implied Share Price</t>
  </si>
  <si>
    <t>Weighted Average Cost of Capital (WACC)</t>
  </si>
  <si>
    <t>Equity (mm)</t>
  </si>
  <si>
    <t>Debt(mm)</t>
  </si>
  <si>
    <t>Cost of Debt</t>
  </si>
  <si>
    <t xml:space="preserve">Tax Rate </t>
  </si>
  <si>
    <t>D/(D+E)</t>
  </si>
  <si>
    <t xml:space="preserve">Afert Tax Cost of Debt </t>
  </si>
  <si>
    <t>Risk Free Rate (10-yr Treasury Yield)</t>
  </si>
  <si>
    <t xml:space="preserve">Expected Market Return </t>
  </si>
  <si>
    <t xml:space="preserve">Market Risk Premium </t>
  </si>
  <si>
    <t xml:space="preserve">Levered Beta </t>
  </si>
  <si>
    <t>E/(D+E)</t>
  </si>
  <si>
    <t xml:space="preserve">Cost Of Equity </t>
  </si>
  <si>
    <t>WAAC</t>
  </si>
  <si>
    <t>WACC</t>
  </si>
  <si>
    <t xml:space="preserve">Sources </t>
  </si>
  <si>
    <t>Fixed Asset Schedule</t>
  </si>
  <si>
    <t>PV of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</si>
</sst>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"/>
  </numFmts>
  <fonts count="2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333333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rgb="FF45923D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3.2"/>
      <color theme="1"/>
      <name val="Aptos Narrow"/>
      <family val="2"/>
      <scheme val="minor"/>
    </font>
    <font>
      <sz val="10"/>
      <color rgb="FF999999"/>
      <name val="Arial"/>
      <family val="2"/>
    </font>
    <font>
      <sz val="15"/>
      <color rgb="FF000000"/>
      <name val="Arial"/>
      <family val="2"/>
    </font>
    <font>
      <sz val="14"/>
      <color rgb="FF555555"/>
      <name val="Arial"/>
      <family val="2"/>
    </font>
    <font>
      <sz val="13"/>
      <color rgb="FF555555"/>
      <name val="Arial"/>
      <family val="2"/>
    </font>
    <font>
      <sz val="14"/>
      <color rgb="FF000000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10"/>
      <color rgb="FF45923D"/>
      <name val="Arial"/>
      <family val="2"/>
    </font>
    <font>
      <sz val="10"/>
      <color rgb="FFFF0000"/>
      <name val="Arial"/>
      <family val="2"/>
    </font>
    <font>
      <b/>
      <sz val="11"/>
      <color theme="1"/>
      <name val="Aptos Narrow"/>
      <scheme val="minor"/>
    </font>
    <font>
      <sz val="13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44" fontId="23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7" fillId="0" borderId="0" xfId="0" applyFont="1"/>
    <xf numFmtId="3" fontId="0" fillId="0" borderId="0" xfId="0" applyNumberFormat="1"/>
    <xf numFmtId="3" fontId="2" fillId="0" borderId="0" xfId="0" applyNumberFormat="1" applyFont="1"/>
    <xf numFmtId="0" fontId="8" fillId="0" borderId="0" xfId="0" applyFont="1"/>
    <xf numFmtId="10" fontId="9" fillId="0" borderId="0" xfId="0" applyNumberFormat="1" applyFont="1"/>
    <xf numFmtId="0" fontId="5" fillId="0" borderId="0" xfId="4"/>
    <xf numFmtId="0" fontId="3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14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3" fontId="18" fillId="0" borderId="0" xfId="0" applyNumberFormat="1" applyFont="1"/>
    <xf numFmtId="10" fontId="19" fillId="0" borderId="0" xfId="0" applyNumberFormat="1" applyFont="1"/>
    <xf numFmtId="10" fontId="20" fillId="0" borderId="0" xfId="0" applyNumberFormat="1" applyFont="1"/>
    <xf numFmtId="0" fontId="19" fillId="0" borderId="0" xfId="0" applyFont="1"/>
    <xf numFmtId="0" fontId="9" fillId="0" borderId="0" xfId="0" applyFont="1"/>
    <xf numFmtId="0" fontId="0" fillId="0" borderId="1" xfId="0" applyBorder="1"/>
    <xf numFmtId="0" fontId="21" fillId="0" borderId="0" xfId="0" applyFont="1"/>
    <xf numFmtId="0" fontId="6" fillId="0" borderId="0" xfId="0" applyFont="1"/>
    <xf numFmtId="3" fontId="2" fillId="0" borderId="1" xfId="0" applyNumberFormat="1" applyFont="1" applyBorder="1"/>
    <xf numFmtId="3" fontId="0" fillId="0" borderId="1" xfId="0" applyNumberFormat="1" applyBorder="1"/>
    <xf numFmtId="3" fontId="22" fillId="0" borderId="0" xfId="0" applyNumberFormat="1" applyFont="1"/>
    <xf numFmtId="0" fontId="21" fillId="0" borderId="1" xfId="0" applyFont="1" applyBorder="1"/>
    <xf numFmtId="0" fontId="0" fillId="0" borderId="2" xfId="0" applyBorder="1"/>
    <xf numFmtId="3" fontId="0" fillId="0" borderId="2" xfId="0" applyNumberFormat="1" applyBorder="1"/>
    <xf numFmtId="0" fontId="24" fillId="2" borderId="0" xfId="0" applyFont="1" applyFill="1"/>
    <xf numFmtId="10" fontId="0" fillId="0" borderId="0" xfId="0" applyNumberFormat="1"/>
    <xf numFmtId="164" fontId="18" fillId="0" borderId="0" xfId="0" applyNumberFormat="1" applyFont="1"/>
    <xf numFmtId="44" fontId="0" fillId="0" borderId="0" xfId="5" applyFont="1"/>
    <xf numFmtId="44" fontId="18" fillId="0" borderId="0" xfId="5" applyFont="1"/>
    <xf numFmtId="0" fontId="7" fillId="0" borderId="0" xfId="0" applyFont="1"/>
    <xf numFmtId="0" fontId="2" fillId="0" borderId="0" xfId="0" applyFont="1"/>
    <xf numFmtId="10" fontId="9" fillId="0" borderId="0" xfId="0" applyNumberFormat="1" applyFont="1"/>
    <xf numFmtId="10" fontId="10" fillId="0" borderId="0" xfId="0" applyNumberFormat="1" applyFont="1"/>
    <xf numFmtId="3" fontId="2" fillId="0" borderId="0" xfId="0" applyNumberFormat="1" applyFont="1"/>
    <xf numFmtId="0" fontId="18" fillId="0" borderId="0" xfId="0" applyFont="1"/>
    <xf numFmtId="0" fontId="17" fillId="0" borderId="0" xfId="0" applyFont="1"/>
    <xf numFmtId="10" fontId="19" fillId="0" borderId="0" xfId="0" applyNumberFormat="1" applyFont="1"/>
    <xf numFmtId="10" fontId="20" fillId="0" borderId="0" xfId="0" applyNumberFormat="1" applyFont="1"/>
    <xf numFmtId="3" fontId="18" fillId="0" borderId="0" xfId="0" applyNumberFormat="1" applyFont="1"/>
    <xf numFmtId="0" fontId="24" fillId="2" borderId="0" xfId="0" applyFont="1" applyFill="1"/>
  </cellXfs>
  <cellStyles count="6">
    <cellStyle name="Currency" xfId="5" builtinId="4"/>
    <cellStyle name="Hyperlink" xfId="4" builtinId="8"/>
    <cellStyle name="Hyperlink 2" xfId="2" xr:uid="{3596714D-4ABE-463B-B0D4-12BC78B49D49}"/>
    <cellStyle name="Normal" xfId="0" builtinId="0"/>
    <cellStyle name="Normal 2" xfId="3" xr:uid="{BCCE88B9-FB93-4E64-B896-58E599704522}"/>
    <cellStyle name="Normal 2 3" xfId="1" xr:uid="{9F1345D6-C7B7-43B6-8AEC-E92D02AD2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</a:t>
            </a:r>
            <a:r>
              <a:rPr lang="en-US" baseline="0"/>
              <a:t> Free Cash Flows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AE6-E444-A246-53CBFC73D14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E6-E444-A246-53CBFC73D14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AE6-E444-A246-53CBFC73D14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E6-E444-A246-53CBFC73D147}"/>
              </c:ext>
            </c:extLst>
          </c:dPt>
          <c:cat>
            <c:numRef>
              <c:f>DCF!$I$2:$M$2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DCF!$I$3:$M$3</c:f>
              <c:numCache>
                <c:formatCode>#,##0.0</c:formatCode>
                <c:ptCount val="5"/>
                <c:pt idx="0">
                  <c:v>84085.066166605131</c:v>
                </c:pt>
                <c:pt idx="1">
                  <c:v>92629.945997124873</c:v>
                </c:pt>
                <c:pt idx="2">
                  <c:v>119969.40310513991</c:v>
                </c:pt>
                <c:pt idx="3">
                  <c:v>151613.19639546779</c:v>
                </c:pt>
                <c:pt idx="4">
                  <c:v>194180.83202597551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6-E444-A246-53CBFC73D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999071"/>
        <c:axId val="1305581007"/>
      </c:lineChart>
      <c:catAx>
        <c:axId val="88799907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81007"/>
        <c:crosses val="autoZero"/>
        <c:auto val="1"/>
        <c:lblAlgn val="ctr"/>
        <c:lblOffset val="100"/>
        <c:noMultiLvlLbl val="0"/>
      </c:catAx>
      <c:valAx>
        <c:axId val="130558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99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PV</a:t>
            </a:r>
            <a:r>
              <a:rPr lang="en-US" baseline="0"/>
              <a:t> Contribution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DCF!$O$2:$O$3</c:f>
              <c:strCache>
                <c:ptCount val="2"/>
                <c:pt idx="0">
                  <c:v>PV of FCF</c:v>
                </c:pt>
                <c:pt idx="1">
                  <c:v>PV of Terminal Value </c:v>
                </c:pt>
              </c:strCache>
            </c:strRef>
          </c:cat>
          <c:val>
            <c:numRef>
              <c:f>DCF!$P$2:$P$3</c:f>
              <c:numCache>
                <c:formatCode>General</c:formatCode>
                <c:ptCount val="2"/>
                <c:pt idx="0">
                  <c:v>585228.95484611602</c:v>
                </c:pt>
                <c:pt idx="1">
                  <c:v>2190116.0393039421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C-9B47-916E-33DCC9AA0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127407"/>
        <c:axId val="1372822575"/>
      </c:barChart>
      <c:catAx>
        <c:axId val="70912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822575"/>
        <c:crosses val="autoZero"/>
        <c:auto val="1"/>
        <c:lblAlgn val="ctr"/>
        <c:lblOffset val="100"/>
        <c:noMultiLvlLbl val="0"/>
      </c:catAx>
      <c:valAx>
        <c:axId val="137282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2740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469900</xdr:colOff>
      <xdr:row>2</xdr:row>
      <xdr:rowOff>25400</xdr:rowOff>
    </xdr:from>
    <xdr:to>
      <xdr:col>5</xdr:col>
      <xdr:colOff>736600</xdr:colOff>
      <xdr:row>10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A6E0CF-027C-CB5C-347A-FE7BCC24957F}"/>
            </a:ext>
          </a:extLst>
        </xdr:cNvPr>
        <xdr:cNvSpPr txBox="1"/>
      </xdr:nvSpPr>
      <xdr:spPr>
        <a:xfrm>
          <a:off x="469900" y="406400"/>
          <a:ext cx="4394200" cy="153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Assumptions</a:t>
          </a:r>
          <a:r>
            <a:rPr lang="en-US" sz="1100" b="1" baseline="0"/>
            <a:t> </a:t>
          </a:r>
          <a:endParaRPr lang="en-US" sz="1100" b="1"/>
        </a:p>
        <a:p>
          <a:r>
            <a:rPr lang="en-US" sz="1100"/>
            <a:t>-</a:t>
          </a:r>
          <a:r>
            <a:rPr lang="en-US" sz="1100" baseline="0"/>
            <a:t> All values are in millions of USD. </a:t>
          </a:r>
        </a:p>
        <a:p>
          <a:r>
            <a:rPr lang="en-US" sz="1100" baseline="0"/>
            <a:t>- Growth rate is the terminal growth rounded not compounded annual growth rate. </a:t>
          </a:r>
        </a:p>
        <a:p>
          <a:r>
            <a:rPr lang="en-US" sz="1100" baseline="0"/>
            <a:t>- August 1st 5:50pm: Nvidia stock price is $173.72</a:t>
          </a:r>
        </a:p>
        <a:p>
          <a:r>
            <a:rPr lang="en-US" sz="1100" baseline="0"/>
            <a:t>-Does not account for any quarter from Year End 2026</a:t>
          </a:r>
        </a:p>
        <a:p>
          <a:r>
            <a:rPr lang="en-US" sz="1100" b="1" baseline="0"/>
            <a:t>Bias</a:t>
          </a:r>
        </a:p>
        <a:p>
          <a:r>
            <a:rPr lang="en-US" sz="1100"/>
            <a:t>-Hold</a:t>
          </a:r>
          <a:r>
            <a:rPr lang="en-US" sz="1100" baseline="0"/>
            <a:t> $400 of stock in Nvidia.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16</xdr:row>
      <xdr:rowOff>107950</xdr:rowOff>
    </xdr:from>
    <xdr:to>
      <xdr:col>12</xdr:col>
      <xdr:colOff>596900</xdr:colOff>
      <xdr:row>30</xdr:row>
      <xdr:rowOff>184150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B8CF80-F2DB-4522-F8FD-B4BCD6FF4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211666</xdr:colOff>
      <xdr:row>33</xdr:row>
      <xdr:rowOff>152400</xdr:rowOff>
    </xdr:from>
    <xdr:to>
      <xdr:col>13</xdr:col>
      <xdr:colOff>474134</xdr:colOff>
      <xdr:row>48</xdr:row>
      <xdr:rowOff>135466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C98F601-F95E-523D-D6AE-14A806D01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mass-my.sharepoint.com/personal/lkurt_umass_edu/Documents/SLide.xlsx" TargetMode="External"/><Relationship Id="rId1" Type="http://schemas.openxmlformats.org/officeDocument/2006/relationships/externalLinkPath" Target="SLi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 Sheet"/>
      <sheetName val="Cash Flow"/>
      <sheetName val="Income Statement "/>
      <sheetName val="Fixed Assets "/>
    </sheetNames>
    <sheetDataSet>
      <sheetData sheetId="0">
        <row r="63">
          <cell r="I63">
            <v>9780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AE962F-5D87-481D-BBC3-093EAFC22CE5}">
  <we:reference id="wa200006775" version="1.2.2.6" store="en-US" storeType="OMEX"/>
  <we:alternateReferences>
    <we:reference id="wa200006775" version="1.2.2.6" store="WA20000677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67E7-B55D-084A-A58A-D1532A1833BA}">
  <dimension ref="A1"/>
  <sheetViews>
    <sheetView workbookViewId="0">
      <selection activeCell="B20" sqref="B20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5F6C-B913-954F-BC40-B1FD2F0D70C7}">
  <dimension ref="A1:K91"/>
  <sheetViews>
    <sheetView topLeftCell="A54" workbookViewId="0"/>
  </sheetViews>
  <sheetFormatPr baseColWidth="10" defaultRowHeight="15" x14ac:dyDescent="0.2"/>
  <sheetData>
    <row r="1" spans="1:11" x14ac:dyDescent="0.2">
      <c r="A1" s="2" t="s">
        <v>14</v>
      </c>
      <c r="B1" s="2">
        <v>2025</v>
      </c>
      <c r="C1" s="2">
        <v>2024</v>
      </c>
      <c r="D1" s="2">
        <v>2023</v>
      </c>
      <c r="E1" s="2">
        <v>2022</v>
      </c>
      <c r="F1" s="2">
        <v>2021</v>
      </c>
      <c r="G1" s="37" t="s">
        <v>15</v>
      </c>
      <c r="H1" s="37"/>
      <c r="I1" s="37"/>
      <c r="J1" s="37"/>
      <c r="K1" s="37"/>
    </row>
    <row r="2" spans="1:11" ht="19" x14ac:dyDescent="0.25">
      <c r="A2" s="1" t="s">
        <v>16</v>
      </c>
      <c r="B2" s="4">
        <v>130497</v>
      </c>
      <c r="C2" s="4">
        <v>60922</v>
      </c>
      <c r="D2" s="4">
        <v>26974</v>
      </c>
      <c r="E2" s="4">
        <v>26914</v>
      </c>
      <c r="F2" s="4">
        <v>16675</v>
      </c>
      <c r="G2" s="5"/>
      <c r="H2" s="5"/>
      <c r="I2" s="5"/>
      <c r="J2" s="5"/>
      <c r="K2" s="5"/>
    </row>
    <row r="3" spans="1:11" ht="19" x14ac:dyDescent="0.25">
      <c r="A3" s="1" t="s">
        <v>17</v>
      </c>
      <c r="B3" s="6">
        <v>1.1419999999999999</v>
      </c>
      <c r="C3" s="6">
        <v>1.2585</v>
      </c>
      <c r="D3" s="6">
        <v>2.2000000000000001E-3</v>
      </c>
      <c r="E3" s="6">
        <v>0.61399999999999999</v>
      </c>
      <c r="F3" s="1" t="s">
        <v>18</v>
      </c>
      <c r="G3" s="5"/>
      <c r="H3" s="5"/>
      <c r="I3" s="5"/>
      <c r="J3" s="5"/>
      <c r="K3" s="5"/>
    </row>
    <row r="4" spans="1:11" ht="19" x14ac:dyDescent="0.25">
      <c r="A4" s="1" t="s">
        <v>19</v>
      </c>
      <c r="B4" s="4">
        <v>32639</v>
      </c>
      <c r="C4" s="4">
        <v>16621</v>
      </c>
      <c r="D4" s="4">
        <v>11618</v>
      </c>
      <c r="E4" s="4">
        <v>9439</v>
      </c>
      <c r="F4" s="4">
        <v>6279</v>
      </c>
      <c r="G4" s="5"/>
      <c r="H4" s="5"/>
      <c r="I4" s="5"/>
      <c r="J4" s="5"/>
      <c r="K4" s="5"/>
    </row>
    <row r="5" spans="1:11" ht="19" x14ac:dyDescent="0.25">
      <c r="A5" s="1" t="s">
        <v>20</v>
      </c>
      <c r="B5" s="4">
        <v>30775</v>
      </c>
      <c r="C5" s="4">
        <v>15113</v>
      </c>
      <c r="D5" s="4">
        <v>10074</v>
      </c>
      <c r="E5" s="4">
        <v>8265</v>
      </c>
      <c r="F5" s="4">
        <v>5181</v>
      </c>
      <c r="G5" s="5"/>
      <c r="H5" s="5"/>
      <c r="I5" s="5"/>
      <c r="J5" s="5"/>
      <c r="K5" s="5"/>
    </row>
    <row r="6" spans="1:11" ht="19" x14ac:dyDescent="0.25">
      <c r="A6" s="1" t="s">
        <v>21</v>
      </c>
      <c r="B6" s="4">
        <v>1864</v>
      </c>
      <c r="C6" s="4">
        <v>1508</v>
      </c>
      <c r="D6" s="4">
        <v>1544</v>
      </c>
      <c r="E6" s="4">
        <v>1174</v>
      </c>
      <c r="F6" s="4">
        <v>1098</v>
      </c>
      <c r="G6" s="5"/>
      <c r="H6" s="5"/>
      <c r="I6" s="5"/>
      <c r="J6" s="5"/>
      <c r="K6" s="5"/>
    </row>
    <row r="7" spans="1:11" ht="19" x14ac:dyDescent="0.25">
      <c r="A7" s="1" t="s">
        <v>4</v>
      </c>
      <c r="B7" s="4">
        <v>1271</v>
      </c>
      <c r="C7" s="1">
        <v>894</v>
      </c>
      <c r="D7" s="1">
        <v>845</v>
      </c>
      <c r="E7" s="1">
        <v>611</v>
      </c>
      <c r="F7" s="1">
        <v>486</v>
      </c>
      <c r="G7" s="5"/>
      <c r="H7" s="5"/>
      <c r="I7" s="5"/>
      <c r="J7" s="5"/>
      <c r="K7" s="5"/>
    </row>
    <row r="8" spans="1:11" ht="19" x14ac:dyDescent="0.25">
      <c r="A8" s="1" t="s">
        <v>22</v>
      </c>
      <c r="B8" s="1">
        <v>593</v>
      </c>
      <c r="C8" s="1">
        <v>614</v>
      </c>
      <c r="D8" s="1">
        <v>699</v>
      </c>
      <c r="E8" s="1">
        <v>563</v>
      </c>
      <c r="F8" s="1">
        <v>612</v>
      </c>
      <c r="G8" s="5"/>
      <c r="H8" s="5"/>
      <c r="I8" s="5"/>
      <c r="J8" s="5"/>
      <c r="K8" s="5"/>
    </row>
    <row r="9" spans="1:11" ht="19" x14ac:dyDescent="0.25">
      <c r="A9" s="1" t="s">
        <v>23</v>
      </c>
      <c r="B9" s="6">
        <v>0.9637</v>
      </c>
      <c r="C9" s="6">
        <v>0.43059999999999998</v>
      </c>
      <c r="D9" s="6">
        <v>0.23089999999999999</v>
      </c>
      <c r="E9" s="6">
        <v>0.50329999999999997</v>
      </c>
      <c r="F9" s="1" t="s">
        <v>18</v>
      </c>
      <c r="G9" s="5"/>
      <c r="H9" s="5"/>
      <c r="I9" s="5"/>
      <c r="J9" s="5"/>
      <c r="K9" s="5"/>
    </row>
    <row r="10" spans="1:11" ht="19" x14ac:dyDescent="0.25">
      <c r="A10" s="1" t="s">
        <v>24</v>
      </c>
      <c r="B10" s="4">
        <v>97858</v>
      </c>
      <c r="C10" s="4">
        <v>44301</v>
      </c>
      <c r="D10" s="4">
        <v>15356</v>
      </c>
      <c r="E10" s="4">
        <v>17475</v>
      </c>
      <c r="F10" s="4">
        <v>10396</v>
      </c>
      <c r="G10" s="5"/>
      <c r="H10" s="5"/>
      <c r="I10" s="5"/>
      <c r="J10" s="5"/>
      <c r="K10" s="5"/>
    </row>
    <row r="11" spans="1:11" ht="19" x14ac:dyDescent="0.25">
      <c r="A11" s="38" t="s">
        <v>25</v>
      </c>
      <c r="B11" s="39">
        <v>1.2089000000000001</v>
      </c>
      <c r="C11" s="39">
        <v>1.8849</v>
      </c>
      <c r="D11" s="40">
        <v>-0.12130000000000001</v>
      </c>
      <c r="E11" s="39">
        <v>0.68089999999999995</v>
      </c>
      <c r="F11" s="38" t="s">
        <v>18</v>
      </c>
      <c r="G11" s="5"/>
      <c r="H11" s="5"/>
      <c r="I11" s="5"/>
      <c r="J11" s="5"/>
      <c r="K11" s="5"/>
    </row>
    <row r="12" spans="1:11" ht="19" x14ac:dyDescent="0.25">
      <c r="A12" s="38"/>
      <c r="B12" s="39"/>
      <c r="C12" s="39"/>
      <c r="D12" s="40"/>
      <c r="E12" s="39"/>
      <c r="F12" s="38"/>
      <c r="G12" s="5"/>
      <c r="H12" s="5"/>
      <c r="I12" s="5"/>
      <c r="J12" s="5"/>
      <c r="K12" s="5"/>
    </row>
    <row r="13" spans="1:11" ht="19" x14ac:dyDescent="0.25">
      <c r="A13" s="1" t="s">
        <v>26</v>
      </c>
      <c r="B13" s="6">
        <v>0.74990000000000001</v>
      </c>
      <c r="C13" s="1" t="s">
        <v>18</v>
      </c>
      <c r="D13" s="1" t="s">
        <v>18</v>
      </c>
      <c r="E13" s="1" t="s">
        <v>18</v>
      </c>
      <c r="F13" s="1" t="s">
        <v>18</v>
      </c>
      <c r="G13" s="5"/>
      <c r="H13" s="5"/>
      <c r="I13" s="5"/>
      <c r="J13" s="5"/>
      <c r="K13" s="5"/>
    </row>
    <row r="14" spans="1:11" ht="19" x14ac:dyDescent="0.25">
      <c r="A14" s="1" t="s">
        <v>27</v>
      </c>
      <c r="B14" s="4">
        <v>16405</v>
      </c>
      <c r="C14" s="4">
        <v>11329</v>
      </c>
      <c r="D14" s="4">
        <v>9779</v>
      </c>
      <c r="E14" s="4">
        <v>7434</v>
      </c>
      <c r="F14" s="4">
        <v>5780</v>
      </c>
      <c r="G14" s="5"/>
      <c r="H14" s="5"/>
      <c r="I14" s="5"/>
      <c r="J14" s="5"/>
      <c r="K14" s="5"/>
    </row>
    <row r="15" spans="1:11" ht="19" x14ac:dyDescent="0.25">
      <c r="A15" s="1" t="s">
        <v>9</v>
      </c>
      <c r="B15" s="4">
        <v>12914</v>
      </c>
      <c r="C15" s="4">
        <v>8675</v>
      </c>
      <c r="D15" s="4">
        <v>7339</v>
      </c>
      <c r="E15" s="4">
        <v>5268</v>
      </c>
      <c r="F15" s="4">
        <v>3924</v>
      </c>
      <c r="G15" s="5"/>
      <c r="H15" s="5"/>
      <c r="I15" s="5"/>
      <c r="J15" s="5"/>
      <c r="K15" s="5"/>
    </row>
    <row r="16" spans="1:11" ht="19" x14ac:dyDescent="0.25">
      <c r="A16" s="1" t="s">
        <v>13</v>
      </c>
      <c r="B16" s="4">
        <v>3491</v>
      </c>
      <c r="C16" s="4">
        <v>2654</v>
      </c>
      <c r="D16" s="4">
        <v>2440</v>
      </c>
      <c r="E16" s="4">
        <v>2166</v>
      </c>
      <c r="F16" s="4">
        <v>1856</v>
      </c>
      <c r="G16" s="5"/>
      <c r="H16" s="5"/>
      <c r="I16" s="5"/>
      <c r="J16" s="5"/>
      <c r="K16" s="5"/>
    </row>
    <row r="17" spans="1:11" ht="19" x14ac:dyDescent="0.25">
      <c r="A17" s="1" t="s">
        <v>28</v>
      </c>
      <c r="B17" s="6">
        <v>0.4481</v>
      </c>
      <c r="C17" s="6">
        <v>0.1585</v>
      </c>
      <c r="D17" s="6">
        <v>0.31540000000000001</v>
      </c>
      <c r="E17" s="6">
        <v>0.28620000000000001</v>
      </c>
      <c r="F17" s="1" t="s">
        <v>18</v>
      </c>
      <c r="G17" s="5"/>
      <c r="H17" s="5"/>
      <c r="I17" s="5"/>
      <c r="J17" s="5"/>
      <c r="K17" s="5"/>
    </row>
    <row r="18" spans="1:11" ht="19" x14ac:dyDescent="0.25">
      <c r="A18" s="1" t="s">
        <v>29</v>
      </c>
      <c r="B18" s="4">
        <v>81453</v>
      </c>
      <c r="C18" s="4">
        <v>32972</v>
      </c>
      <c r="D18" s="4">
        <v>5577</v>
      </c>
      <c r="E18" s="4">
        <v>10041</v>
      </c>
      <c r="F18" s="4">
        <v>4616</v>
      </c>
      <c r="G18" s="5"/>
      <c r="H18" s="5"/>
      <c r="I18" s="5"/>
      <c r="J18" s="5"/>
      <c r="K18" s="5"/>
    </row>
    <row r="19" spans="1:11" ht="19" x14ac:dyDescent="0.25">
      <c r="A19" s="38" t="s">
        <v>30</v>
      </c>
      <c r="B19" s="38">
        <v>-757</v>
      </c>
      <c r="C19" s="38">
        <v>-174</v>
      </c>
      <c r="D19" s="41">
        <v>1414</v>
      </c>
      <c r="E19" s="38">
        <v>-100</v>
      </c>
      <c r="F19" s="38">
        <v>84</v>
      </c>
      <c r="G19" s="5"/>
      <c r="H19" s="5"/>
      <c r="I19" s="5"/>
      <c r="J19" s="5"/>
      <c r="K19" s="5"/>
    </row>
    <row r="20" spans="1:11" ht="19" x14ac:dyDescent="0.25">
      <c r="A20" s="38"/>
      <c r="B20" s="38"/>
      <c r="C20" s="38"/>
      <c r="D20" s="41"/>
      <c r="E20" s="38"/>
      <c r="F20" s="38"/>
      <c r="G20" s="5"/>
      <c r="H20" s="5"/>
      <c r="I20" s="5"/>
      <c r="J20" s="5"/>
      <c r="K20" s="5"/>
    </row>
    <row r="21" spans="1:11" ht="19" x14ac:dyDescent="0.25">
      <c r="A21" s="1" t="s">
        <v>31</v>
      </c>
      <c r="B21" s="1">
        <v>277</v>
      </c>
      <c r="C21" s="1">
        <v>63</v>
      </c>
      <c r="D21" s="1">
        <v>13</v>
      </c>
      <c r="E21" s="1">
        <v>7</v>
      </c>
      <c r="F21" s="1">
        <v>4</v>
      </c>
      <c r="G21" s="5"/>
      <c r="H21" s="5"/>
      <c r="I21" s="5"/>
      <c r="J21" s="5"/>
      <c r="K21" s="5"/>
    </row>
    <row r="22" spans="1:11" ht="19" x14ac:dyDescent="0.25">
      <c r="A22" s="1" t="s">
        <v>32</v>
      </c>
      <c r="B22" s="4">
        <v>1786</v>
      </c>
      <c r="C22" s="1">
        <v>866</v>
      </c>
      <c r="D22" s="1">
        <v>267</v>
      </c>
      <c r="E22" s="1">
        <v>29</v>
      </c>
      <c r="F22" s="1">
        <v>57</v>
      </c>
      <c r="G22" s="5"/>
      <c r="H22" s="5"/>
      <c r="I22" s="5"/>
      <c r="J22" s="5"/>
      <c r="K22" s="5"/>
    </row>
    <row r="23" spans="1:11" ht="19" x14ac:dyDescent="0.25">
      <c r="A23" s="1" t="s">
        <v>10</v>
      </c>
      <c r="B23" s="1">
        <v>247</v>
      </c>
      <c r="C23" s="1">
        <v>257</v>
      </c>
      <c r="D23" s="1">
        <v>262</v>
      </c>
      <c r="E23" s="1">
        <v>236</v>
      </c>
      <c r="F23" s="1">
        <v>184</v>
      </c>
      <c r="G23" s="5"/>
      <c r="H23" s="5"/>
      <c r="I23" s="5"/>
      <c r="J23" s="5"/>
      <c r="K23" s="5"/>
    </row>
    <row r="24" spans="1:11" ht="19" x14ac:dyDescent="0.25">
      <c r="A24" s="38" t="s">
        <v>33</v>
      </c>
      <c r="B24" s="40">
        <v>-3.8899999999999997E-2</v>
      </c>
      <c r="C24" s="40">
        <v>-1.9099999999999999E-2</v>
      </c>
      <c r="D24" s="39">
        <v>0.11020000000000001</v>
      </c>
      <c r="E24" s="39">
        <v>0.28260000000000002</v>
      </c>
      <c r="F24" s="38" t="s">
        <v>18</v>
      </c>
      <c r="G24" s="5"/>
      <c r="H24" s="5"/>
      <c r="I24" s="5"/>
      <c r="J24" s="5"/>
      <c r="K24" s="5"/>
    </row>
    <row r="25" spans="1:11" ht="19" x14ac:dyDescent="0.25">
      <c r="A25" s="38"/>
      <c r="B25" s="40"/>
      <c r="C25" s="40"/>
      <c r="D25" s="39"/>
      <c r="E25" s="39"/>
      <c r="F25" s="38"/>
      <c r="G25" s="5"/>
      <c r="H25" s="5"/>
      <c r="I25" s="5"/>
      <c r="J25" s="5"/>
      <c r="K25" s="5"/>
    </row>
    <row r="26" spans="1:11" ht="19" x14ac:dyDescent="0.25">
      <c r="A26" s="1" t="s">
        <v>34</v>
      </c>
      <c r="B26" s="1">
        <v>247</v>
      </c>
      <c r="C26" s="1">
        <v>257</v>
      </c>
      <c r="D26" s="1">
        <v>262</v>
      </c>
      <c r="E26" s="1">
        <v>236</v>
      </c>
      <c r="F26" s="1">
        <v>184</v>
      </c>
      <c r="G26" s="5"/>
      <c r="H26" s="5"/>
      <c r="I26" s="5"/>
      <c r="J26" s="5"/>
      <c r="K26" s="5"/>
    </row>
    <row r="27" spans="1:11" ht="19" x14ac:dyDescent="0.25">
      <c r="A27" s="1" t="s">
        <v>35</v>
      </c>
      <c r="B27" s="4">
        <v>84026</v>
      </c>
      <c r="C27" s="4">
        <v>33818</v>
      </c>
      <c r="D27" s="4">
        <v>4181</v>
      </c>
      <c r="E27" s="4">
        <v>9941</v>
      </c>
      <c r="F27" s="4">
        <v>4409</v>
      </c>
      <c r="G27" s="5"/>
      <c r="H27" s="5"/>
      <c r="I27" s="5"/>
      <c r="J27" s="5"/>
      <c r="K27" s="5"/>
    </row>
    <row r="28" spans="1:11" ht="19" x14ac:dyDescent="0.25">
      <c r="A28" s="38" t="s">
        <v>36</v>
      </c>
      <c r="B28" s="39">
        <v>1.4846999999999999</v>
      </c>
      <c r="C28" s="39">
        <v>7.0884999999999998</v>
      </c>
      <c r="D28" s="40">
        <v>-0.57940000000000003</v>
      </c>
      <c r="E28" s="39">
        <v>1.2546999999999999</v>
      </c>
      <c r="F28" s="38" t="s">
        <v>18</v>
      </c>
      <c r="G28" s="5"/>
      <c r="H28" s="5"/>
      <c r="I28" s="5"/>
      <c r="J28" s="5"/>
      <c r="K28" s="5"/>
    </row>
    <row r="29" spans="1:11" ht="19" x14ac:dyDescent="0.25">
      <c r="A29" s="38"/>
      <c r="B29" s="39"/>
      <c r="C29" s="39"/>
      <c r="D29" s="40"/>
      <c r="E29" s="39"/>
      <c r="F29" s="38"/>
      <c r="G29" s="5"/>
      <c r="H29" s="5"/>
      <c r="I29" s="5"/>
      <c r="J29" s="5"/>
      <c r="K29" s="5"/>
    </row>
    <row r="30" spans="1:11" ht="19" x14ac:dyDescent="0.25">
      <c r="A30" s="1" t="s">
        <v>37</v>
      </c>
      <c r="B30" s="6">
        <v>0.64390000000000003</v>
      </c>
      <c r="C30" s="1" t="s">
        <v>18</v>
      </c>
      <c r="D30" s="1" t="s">
        <v>18</v>
      </c>
      <c r="E30" s="1" t="s">
        <v>18</v>
      </c>
      <c r="F30" s="1" t="s">
        <v>18</v>
      </c>
      <c r="G30" s="5"/>
      <c r="H30" s="5"/>
      <c r="I30" s="5"/>
      <c r="J30" s="5"/>
      <c r="K30" s="5"/>
    </row>
    <row r="31" spans="1:11" ht="19" x14ac:dyDescent="0.25">
      <c r="A31" s="38" t="s">
        <v>38</v>
      </c>
      <c r="B31" s="41">
        <v>11146</v>
      </c>
      <c r="C31" s="41">
        <v>4058</v>
      </c>
      <c r="D31" s="38">
        <v>-187</v>
      </c>
      <c r="E31" s="38">
        <v>189</v>
      </c>
      <c r="F31" s="38">
        <v>77</v>
      </c>
      <c r="G31" s="5"/>
      <c r="H31" s="5"/>
      <c r="I31" s="5"/>
      <c r="J31" s="5"/>
      <c r="K31" s="5"/>
    </row>
    <row r="32" spans="1:11" ht="19" x14ac:dyDescent="0.25">
      <c r="A32" s="38"/>
      <c r="B32" s="41"/>
      <c r="C32" s="41"/>
      <c r="D32" s="38"/>
      <c r="E32" s="38"/>
      <c r="F32" s="38"/>
      <c r="G32" s="5"/>
      <c r="H32" s="5"/>
      <c r="I32" s="5"/>
      <c r="J32" s="5"/>
      <c r="K32" s="5"/>
    </row>
    <row r="33" spans="1:11" ht="19" x14ac:dyDescent="0.25">
      <c r="A33" s="1" t="s">
        <v>39</v>
      </c>
      <c r="B33" s="4">
        <v>14924</v>
      </c>
      <c r="C33" s="4">
        <v>6045</v>
      </c>
      <c r="D33" s="4">
        <v>1749</v>
      </c>
      <c r="E33" s="1">
        <v>524</v>
      </c>
      <c r="F33" s="1">
        <v>198</v>
      </c>
      <c r="G33" s="5"/>
      <c r="H33" s="5"/>
      <c r="I33" s="5"/>
      <c r="J33" s="5"/>
      <c r="K33" s="5"/>
    </row>
    <row r="34" spans="1:11" ht="19" x14ac:dyDescent="0.25">
      <c r="A34" s="1" t="s">
        <v>40</v>
      </c>
      <c r="B34" s="1">
        <v>699</v>
      </c>
      <c r="C34" s="1">
        <v>502</v>
      </c>
      <c r="D34" s="1">
        <v>228</v>
      </c>
      <c r="E34" s="1">
        <v>71</v>
      </c>
      <c r="F34" s="1">
        <v>161</v>
      </c>
      <c r="G34" s="5"/>
      <c r="H34" s="5"/>
      <c r="I34" s="5"/>
      <c r="J34" s="5"/>
      <c r="K34" s="5"/>
    </row>
    <row r="35" spans="1:11" ht="19" x14ac:dyDescent="0.25">
      <c r="A35" s="38" t="s">
        <v>41</v>
      </c>
      <c r="B35" s="41">
        <v>-4757</v>
      </c>
      <c r="C35" s="41">
        <v>-2705</v>
      </c>
      <c r="D35" s="41">
        <v>-2165</v>
      </c>
      <c r="E35" s="38">
        <v>-420</v>
      </c>
      <c r="F35" s="38">
        <v>-246</v>
      </c>
      <c r="G35" s="5"/>
      <c r="H35" s="5"/>
      <c r="I35" s="5"/>
      <c r="J35" s="5"/>
      <c r="K35" s="5"/>
    </row>
    <row r="36" spans="1:11" ht="19" x14ac:dyDescent="0.25">
      <c r="A36" s="38"/>
      <c r="B36" s="41"/>
      <c r="C36" s="41"/>
      <c r="D36" s="41"/>
      <c r="E36" s="38"/>
      <c r="F36" s="38"/>
      <c r="G36" s="5"/>
      <c r="H36" s="5"/>
      <c r="I36" s="5"/>
      <c r="J36" s="5"/>
      <c r="K36" s="5"/>
    </row>
    <row r="37" spans="1:11" ht="19" x14ac:dyDescent="0.25">
      <c r="A37" s="38" t="s">
        <v>42</v>
      </c>
      <c r="B37" s="38">
        <v>280</v>
      </c>
      <c r="C37" s="38">
        <v>216</v>
      </c>
      <c r="D37" s="38">
        <v>1</v>
      </c>
      <c r="E37" s="38">
        <v>14</v>
      </c>
      <c r="F37" s="38">
        <v>-36</v>
      </c>
      <c r="G37" s="5"/>
      <c r="H37" s="5"/>
      <c r="I37" s="5"/>
      <c r="J37" s="5"/>
      <c r="K37" s="5"/>
    </row>
    <row r="38" spans="1:11" ht="19" x14ac:dyDescent="0.25">
      <c r="A38" s="38"/>
      <c r="B38" s="38"/>
      <c r="C38" s="38"/>
      <c r="D38" s="38"/>
      <c r="E38" s="38"/>
      <c r="F38" s="38"/>
      <c r="G38" s="5"/>
      <c r="H38" s="5"/>
      <c r="I38" s="5"/>
      <c r="J38" s="5"/>
      <c r="K38" s="5"/>
    </row>
    <row r="39" spans="1:11" ht="19" x14ac:dyDescent="0.25">
      <c r="A39" s="1" t="s">
        <v>43</v>
      </c>
      <c r="B39" s="4">
        <v>72880</v>
      </c>
      <c r="C39" s="4">
        <v>29760</v>
      </c>
      <c r="D39" s="4">
        <v>4368</v>
      </c>
      <c r="E39" s="4">
        <v>9752</v>
      </c>
      <c r="F39" s="4">
        <v>4332</v>
      </c>
      <c r="G39" s="5"/>
      <c r="H39" s="5"/>
      <c r="I39" s="5"/>
      <c r="J39" s="5"/>
      <c r="K39" s="5"/>
    </row>
    <row r="40" spans="1:11" ht="19" x14ac:dyDescent="0.25">
      <c r="A40" s="1" t="s">
        <v>2</v>
      </c>
      <c r="B40" s="4">
        <v>72880</v>
      </c>
      <c r="C40" s="4">
        <v>29760</v>
      </c>
      <c r="D40" s="4">
        <v>4368</v>
      </c>
      <c r="E40" s="4">
        <v>9752</v>
      </c>
      <c r="F40" s="4">
        <v>4332</v>
      </c>
      <c r="G40" s="5"/>
      <c r="H40" s="5"/>
      <c r="I40" s="5"/>
      <c r="J40" s="5"/>
      <c r="K40" s="5"/>
    </row>
    <row r="41" spans="1:11" ht="19" x14ac:dyDescent="0.25">
      <c r="A41" s="38" t="s">
        <v>44</v>
      </c>
      <c r="B41" s="39">
        <v>1.4489000000000001</v>
      </c>
      <c r="C41" s="39">
        <v>5.8132000000000001</v>
      </c>
      <c r="D41" s="40">
        <v>-0.55210000000000004</v>
      </c>
      <c r="E41" s="39">
        <v>1.2512000000000001</v>
      </c>
      <c r="F41" s="38" t="s">
        <v>18</v>
      </c>
      <c r="G41" s="5"/>
      <c r="H41" s="5"/>
      <c r="I41" s="5"/>
      <c r="J41" s="5"/>
      <c r="K41" s="5"/>
    </row>
    <row r="42" spans="1:11" ht="19" x14ac:dyDescent="0.25">
      <c r="A42" s="38"/>
      <c r="B42" s="39"/>
      <c r="C42" s="39"/>
      <c r="D42" s="40"/>
      <c r="E42" s="39"/>
      <c r="F42" s="38"/>
      <c r="G42" s="5"/>
      <c r="H42" s="5"/>
      <c r="I42" s="5"/>
      <c r="J42" s="5"/>
      <c r="K42" s="5"/>
    </row>
    <row r="43" spans="1:11" ht="19" x14ac:dyDescent="0.25">
      <c r="A43" s="1" t="s">
        <v>45</v>
      </c>
      <c r="B43" s="6">
        <v>0.5585</v>
      </c>
      <c r="C43" s="1" t="s">
        <v>18</v>
      </c>
      <c r="D43" s="1" t="s">
        <v>18</v>
      </c>
      <c r="E43" s="1" t="s">
        <v>18</v>
      </c>
      <c r="F43" s="1" t="s">
        <v>18</v>
      </c>
      <c r="G43" s="5"/>
      <c r="H43" s="5"/>
      <c r="I43" s="5"/>
      <c r="J43" s="5"/>
      <c r="K43" s="5"/>
    </row>
    <row r="44" spans="1:11" ht="19" x14ac:dyDescent="0.25">
      <c r="A44" s="1" t="s">
        <v>46</v>
      </c>
      <c r="B44" s="4">
        <v>72880</v>
      </c>
      <c r="C44" s="4">
        <v>29760</v>
      </c>
      <c r="D44" s="4">
        <v>4368</v>
      </c>
      <c r="E44" s="4">
        <v>9752</v>
      </c>
      <c r="F44" s="4">
        <v>4332</v>
      </c>
      <c r="G44" s="5"/>
      <c r="H44" s="5"/>
      <c r="I44" s="5"/>
      <c r="J44" s="5"/>
      <c r="K44" s="5"/>
    </row>
    <row r="45" spans="1:11" ht="19" x14ac:dyDescent="0.25">
      <c r="A45" s="1" t="s">
        <v>47</v>
      </c>
      <c r="B45" s="4">
        <v>72880</v>
      </c>
      <c r="C45" s="4">
        <v>29760</v>
      </c>
      <c r="D45" s="4">
        <v>4368</v>
      </c>
      <c r="E45" s="4">
        <v>9752</v>
      </c>
      <c r="F45" s="4">
        <v>4332</v>
      </c>
      <c r="G45" s="5"/>
      <c r="H45" s="5"/>
      <c r="I45" s="5"/>
      <c r="J45" s="5"/>
      <c r="K45" s="5"/>
    </row>
    <row r="46" spans="1:11" ht="19" x14ac:dyDescent="0.25">
      <c r="A46" s="1" t="s">
        <v>48</v>
      </c>
      <c r="B46" s="1">
        <v>2.94</v>
      </c>
      <c r="C46" s="1">
        <v>1.19</v>
      </c>
      <c r="D46" s="1">
        <v>0.17</v>
      </c>
      <c r="E46" s="1">
        <v>0.38</v>
      </c>
      <c r="F46" s="1">
        <v>0.17</v>
      </c>
      <c r="G46" s="5"/>
      <c r="H46" s="5"/>
      <c r="I46" s="5"/>
      <c r="J46" s="5"/>
      <c r="K46" s="5"/>
    </row>
    <row r="47" spans="1:11" ht="19" x14ac:dyDescent="0.25">
      <c r="A47" s="38" t="s">
        <v>49</v>
      </c>
      <c r="B47" s="39">
        <v>1.4621999999999999</v>
      </c>
      <c r="C47" s="39">
        <v>5.8502000000000001</v>
      </c>
      <c r="D47" s="40">
        <v>-0.54720000000000002</v>
      </c>
      <c r="E47" s="39">
        <v>1.2301</v>
      </c>
      <c r="F47" s="38" t="s">
        <v>18</v>
      </c>
      <c r="G47" s="5"/>
      <c r="H47" s="5"/>
      <c r="I47" s="5"/>
      <c r="J47" s="5"/>
      <c r="K47" s="5"/>
    </row>
    <row r="48" spans="1:11" ht="19" x14ac:dyDescent="0.25">
      <c r="A48" s="38"/>
      <c r="B48" s="39"/>
      <c r="C48" s="39"/>
      <c r="D48" s="40"/>
      <c r="E48" s="39"/>
      <c r="F48" s="38"/>
      <c r="G48" s="5"/>
      <c r="H48" s="5"/>
      <c r="I48" s="5"/>
      <c r="J48" s="5"/>
      <c r="K48" s="5"/>
    </row>
    <row r="49" spans="1:11" ht="19" x14ac:dyDescent="0.25">
      <c r="A49" s="1" t="s">
        <v>50</v>
      </c>
      <c r="B49" s="4">
        <v>24555</v>
      </c>
      <c r="C49" s="4">
        <v>24690</v>
      </c>
      <c r="D49" s="4">
        <v>24870</v>
      </c>
      <c r="E49" s="4">
        <v>24960</v>
      </c>
      <c r="F49" s="4">
        <v>24680</v>
      </c>
      <c r="G49" s="5"/>
      <c r="H49" s="5"/>
      <c r="I49" s="5"/>
      <c r="J49" s="5"/>
      <c r="K49" s="5"/>
    </row>
    <row r="50" spans="1:11" ht="19" x14ac:dyDescent="0.25">
      <c r="A50" s="1" t="s">
        <v>51</v>
      </c>
      <c r="B50" s="1">
        <v>2.94</v>
      </c>
      <c r="C50" s="1">
        <v>1.19</v>
      </c>
      <c r="D50" s="1">
        <v>0.17</v>
      </c>
      <c r="E50" s="1">
        <v>0.38</v>
      </c>
      <c r="F50" s="1">
        <v>0.17</v>
      </c>
      <c r="G50" s="5"/>
      <c r="H50" s="5"/>
      <c r="I50" s="5"/>
      <c r="J50" s="5"/>
      <c r="K50" s="5"/>
    </row>
    <row r="51" spans="1:11" ht="19" x14ac:dyDescent="0.25">
      <c r="A51" s="38" t="s">
        <v>52</v>
      </c>
      <c r="B51" s="39">
        <v>1.4623999999999999</v>
      </c>
      <c r="C51" s="39">
        <v>5.8487</v>
      </c>
      <c r="D51" s="40">
        <v>-0.54710000000000003</v>
      </c>
      <c r="E51" s="39">
        <v>1.2306999999999999</v>
      </c>
      <c r="F51" s="38" t="s">
        <v>18</v>
      </c>
      <c r="G51" s="5"/>
      <c r="H51" s="5"/>
      <c r="I51" s="5"/>
      <c r="J51" s="5"/>
      <c r="K51" s="5"/>
    </row>
    <row r="52" spans="1:11" ht="19" x14ac:dyDescent="0.25">
      <c r="A52" s="38"/>
      <c r="B52" s="39"/>
      <c r="C52" s="39"/>
      <c r="D52" s="40"/>
      <c r="E52" s="39"/>
      <c r="F52" s="38"/>
      <c r="G52" s="5"/>
      <c r="H52" s="5"/>
      <c r="I52" s="5"/>
      <c r="J52" s="5"/>
      <c r="K52" s="5"/>
    </row>
    <row r="53" spans="1:11" ht="19" x14ac:dyDescent="0.25">
      <c r="A53" s="1" t="s">
        <v>53</v>
      </c>
      <c r="B53" s="4">
        <v>24804</v>
      </c>
      <c r="C53" s="4">
        <v>24940</v>
      </c>
      <c r="D53" s="4">
        <v>25070</v>
      </c>
      <c r="E53" s="4">
        <v>25350</v>
      </c>
      <c r="F53" s="4">
        <v>25120</v>
      </c>
      <c r="G53" s="5"/>
      <c r="H53" s="5"/>
      <c r="I53" s="5"/>
      <c r="J53" s="5"/>
      <c r="K53" s="5"/>
    </row>
    <row r="54" spans="1:11" ht="19" x14ac:dyDescent="0.25">
      <c r="A54" s="1" t="s">
        <v>54</v>
      </c>
      <c r="B54" s="4">
        <v>83317</v>
      </c>
      <c r="C54" s="4">
        <v>34480</v>
      </c>
      <c r="D54" s="4">
        <v>7121</v>
      </c>
      <c r="E54" s="4">
        <v>11215</v>
      </c>
      <c r="F54" s="4">
        <v>5714</v>
      </c>
      <c r="G54" s="5"/>
      <c r="H54" s="5"/>
      <c r="I54" s="5"/>
      <c r="J54" s="5"/>
      <c r="K54" s="5"/>
    </row>
    <row r="55" spans="1:11" ht="19" x14ac:dyDescent="0.25">
      <c r="A55" s="38" t="s">
        <v>55</v>
      </c>
      <c r="B55" s="39">
        <v>1.4164000000000001</v>
      </c>
      <c r="C55" s="39">
        <v>3.8420000000000001</v>
      </c>
      <c r="D55" s="40">
        <v>-0.36499999999999999</v>
      </c>
      <c r="E55" s="39">
        <v>0.9627</v>
      </c>
      <c r="F55" s="38" t="s">
        <v>18</v>
      </c>
      <c r="G55" s="5"/>
      <c r="H55" s="5"/>
      <c r="I55" s="5"/>
      <c r="J55" s="5"/>
      <c r="K55" s="5"/>
    </row>
    <row r="56" spans="1:11" ht="19" x14ac:dyDescent="0.25">
      <c r="A56" s="38"/>
      <c r="B56" s="39"/>
      <c r="C56" s="39"/>
      <c r="D56" s="40"/>
      <c r="E56" s="39"/>
      <c r="F56" s="38"/>
      <c r="G56" s="5"/>
      <c r="H56" s="5"/>
      <c r="I56" s="5"/>
      <c r="J56" s="5"/>
      <c r="K56" s="5"/>
    </row>
    <row r="57" spans="1:11" ht="19" x14ac:dyDescent="0.25">
      <c r="A57" s="1" t="s">
        <v>56</v>
      </c>
      <c r="B57" s="6">
        <v>0.63849999999999996</v>
      </c>
      <c r="C57" s="1" t="s">
        <v>18</v>
      </c>
      <c r="D57" s="1" t="s">
        <v>18</v>
      </c>
      <c r="E57" s="1" t="s">
        <v>18</v>
      </c>
      <c r="F57" s="1" t="s">
        <v>18</v>
      </c>
      <c r="G57" s="5"/>
      <c r="H57" s="5"/>
      <c r="I57" s="5"/>
      <c r="J57" s="5"/>
      <c r="K57" s="5"/>
    </row>
    <row r="58" spans="1:11" ht="19" x14ac:dyDescent="0.25">
      <c r="A58" s="1" t="s">
        <v>29</v>
      </c>
      <c r="B58" s="4">
        <v>81453</v>
      </c>
      <c r="C58" s="4">
        <v>32972</v>
      </c>
      <c r="D58" s="4">
        <v>5577</v>
      </c>
      <c r="E58" s="4">
        <v>10041</v>
      </c>
      <c r="F58" s="4">
        <v>4616</v>
      </c>
      <c r="G58" s="5"/>
      <c r="H58" s="5"/>
      <c r="I58" s="5"/>
      <c r="J58" s="5"/>
      <c r="K58" s="5"/>
    </row>
    <row r="59" spans="1:11" x14ac:dyDescent="0.2">
      <c r="A59" s="7"/>
    </row>
    <row r="60" spans="1:11" x14ac:dyDescent="0.2">
      <c r="A60" s="7"/>
    </row>
    <row r="61" spans="1:11" x14ac:dyDescent="0.2">
      <c r="A61" s="7"/>
    </row>
    <row r="62" spans="1:11" x14ac:dyDescent="0.2">
      <c r="A62" s="7"/>
    </row>
    <row r="63" spans="1:11" x14ac:dyDescent="0.2">
      <c r="A63" s="7"/>
    </row>
    <row r="64" spans="1:11" x14ac:dyDescent="0.2">
      <c r="A64" s="7"/>
    </row>
    <row r="65" spans="1:1" ht="16" x14ac:dyDescent="0.2">
      <c r="A65" s="8"/>
    </row>
    <row r="66" spans="1:1" ht="16" x14ac:dyDescent="0.2">
      <c r="A66" s="8"/>
    </row>
    <row r="67" spans="1:1" x14ac:dyDescent="0.2">
      <c r="A67" s="7"/>
    </row>
    <row r="68" spans="1:1" ht="16" x14ac:dyDescent="0.2">
      <c r="A68" s="8"/>
    </row>
    <row r="69" spans="1:1" ht="16" x14ac:dyDescent="0.2">
      <c r="A69" s="8"/>
    </row>
    <row r="70" spans="1:1" ht="16" x14ac:dyDescent="0.2">
      <c r="A70" s="8"/>
    </row>
    <row r="71" spans="1:1" ht="16" x14ac:dyDescent="0.2">
      <c r="A71" s="8"/>
    </row>
    <row r="72" spans="1:1" ht="16" x14ac:dyDescent="0.2">
      <c r="A72" s="8"/>
    </row>
    <row r="73" spans="1:1" ht="18" x14ac:dyDescent="0.25">
      <c r="A73" s="9"/>
    </row>
    <row r="74" spans="1:1" ht="16" x14ac:dyDescent="0.2">
      <c r="A74" s="10"/>
    </row>
    <row r="75" spans="1:1" ht="16" x14ac:dyDescent="0.2">
      <c r="A75" s="8"/>
    </row>
    <row r="76" spans="1:1" ht="16" x14ac:dyDescent="0.2">
      <c r="A76" s="8"/>
    </row>
    <row r="77" spans="1:1" ht="16" x14ac:dyDescent="0.2">
      <c r="A77" s="8"/>
    </row>
    <row r="78" spans="1:1" x14ac:dyDescent="0.2">
      <c r="A78" s="11"/>
    </row>
    <row r="79" spans="1:1" x14ac:dyDescent="0.2">
      <c r="A79" s="11"/>
    </row>
    <row r="80" spans="1:1" ht="18" x14ac:dyDescent="0.2">
      <c r="A80" s="12"/>
    </row>
    <row r="81" spans="1:1" ht="19" x14ac:dyDescent="0.2">
      <c r="A81" s="13"/>
    </row>
    <row r="82" spans="1:1" ht="19" x14ac:dyDescent="0.2">
      <c r="A82" s="13"/>
    </row>
    <row r="85" spans="1:1" ht="19" x14ac:dyDescent="0.2">
      <c r="A85" s="13"/>
    </row>
    <row r="86" spans="1:1" x14ac:dyDescent="0.2">
      <c r="A86" s="7"/>
    </row>
    <row r="87" spans="1:1" x14ac:dyDescent="0.2">
      <c r="A87" s="7"/>
    </row>
    <row r="90" spans="1:1" x14ac:dyDescent="0.2">
      <c r="A90" s="7"/>
    </row>
    <row r="91" spans="1:1" ht="17" x14ac:dyDescent="0.2">
      <c r="A91" s="14"/>
    </row>
  </sheetData>
  <mergeCells count="67">
    <mergeCell ref="F55:F56"/>
    <mergeCell ref="A51:A52"/>
    <mergeCell ref="B51:B52"/>
    <mergeCell ref="C51:C52"/>
    <mergeCell ref="D51:D52"/>
    <mergeCell ref="E51:E52"/>
    <mergeCell ref="F51:F52"/>
    <mergeCell ref="A55:A56"/>
    <mergeCell ref="B55:B56"/>
    <mergeCell ref="C55:C56"/>
    <mergeCell ref="D55:D56"/>
    <mergeCell ref="E55:E56"/>
    <mergeCell ref="F47:F48"/>
    <mergeCell ref="A41:A42"/>
    <mergeCell ref="B41:B42"/>
    <mergeCell ref="C41:C42"/>
    <mergeCell ref="D41:D42"/>
    <mergeCell ref="E41:E42"/>
    <mergeCell ref="F41:F42"/>
    <mergeCell ref="A47:A48"/>
    <mergeCell ref="B47:B48"/>
    <mergeCell ref="C47:C48"/>
    <mergeCell ref="D47:D48"/>
    <mergeCell ref="E47:E48"/>
    <mergeCell ref="F37:F38"/>
    <mergeCell ref="A35:A36"/>
    <mergeCell ref="B35:B36"/>
    <mergeCell ref="C35:C36"/>
    <mergeCell ref="D35:D36"/>
    <mergeCell ref="E35:E36"/>
    <mergeCell ref="F35:F36"/>
    <mergeCell ref="A37:A38"/>
    <mergeCell ref="B37:B38"/>
    <mergeCell ref="C37:C38"/>
    <mergeCell ref="D37:D38"/>
    <mergeCell ref="E37:E38"/>
    <mergeCell ref="F31:F32"/>
    <mergeCell ref="A28:A29"/>
    <mergeCell ref="B28:B29"/>
    <mergeCell ref="C28:C29"/>
    <mergeCell ref="D28:D29"/>
    <mergeCell ref="E28:E29"/>
    <mergeCell ref="F28:F29"/>
    <mergeCell ref="A31:A32"/>
    <mergeCell ref="B31:B32"/>
    <mergeCell ref="C31:C32"/>
    <mergeCell ref="D31:D32"/>
    <mergeCell ref="E31:E32"/>
    <mergeCell ref="F24:F25"/>
    <mergeCell ref="A19:A20"/>
    <mergeCell ref="B19:B20"/>
    <mergeCell ref="C19:C20"/>
    <mergeCell ref="D19:D20"/>
    <mergeCell ref="E19:E20"/>
    <mergeCell ref="F19:F20"/>
    <mergeCell ref="A24:A25"/>
    <mergeCell ref="B24:B25"/>
    <mergeCell ref="C24:C25"/>
    <mergeCell ref="D24:D25"/>
    <mergeCell ref="E24:E25"/>
    <mergeCell ref="G1:K1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4361-0186-AE46-86A8-0535429910B6}">
  <dimension ref="A1:K86"/>
  <sheetViews>
    <sheetView workbookViewId="0">
      <selection activeCell="I58" sqref="I58"/>
    </sheetView>
  </sheetViews>
  <sheetFormatPr baseColWidth="10" defaultRowHeight="15" x14ac:dyDescent="0.2"/>
  <sheetData>
    <row r="1" spans="1:11" ht="18" x14ac:dyDescent="0.2">
      <c r="A1" s="15" t="s">
        <v>1</v>
      </c>
    </row>
    <row r="2" spans="1:11" x14ac:dyDescent="0.2">
      <c r="A2" s="16" t="s">
        <v>14</v>
      </c>
      <c r="B2" s="16">
        <v>2025</v>
      </c>
      <c r="C2" s="16">
        <v>2024</v>
      </c>
      <c r="D2" s="16">
        <v>2023</v>
      </c>
      <c r="E2" s="16">
        <v>2022</v>
      </c>
      <c r="F2" s="16">
        <v>2021</v>
      </c>
      <c r="G2" s="43" t="s">
        <v>15</v>
      </c>
      <c r="H2" s="43"/>
      <c r="I2" s="43"/>
      <c r="J2" s="43"/>
      <c r="K2" s="43"/>
    </row>
    <row r="3" spans="1:11" ht="19" x14ac:dyDescent="0.25">
      <c r="A3" s="17" t="s">
        <v>57</v>
      </c>
      <c r="B3" s="18">
        <v>43210</v>
      </c>
      <c r="C3" s="18">
        <v>25984</v>
      </c>
      <c r="D3" s="18">
        <v>13296</v>
      </c>
      <c r="E3" s="18">
        <v>21208</v>
      </c>
      <c r="F3" s="18">
        <v>11561</v>
      </c>
      <c r="G3" s="5"/>
      <c r="H3" s="5"/>
      <c r="I3" s="5"/>
      <c r="J3" s="5"/>
      <c r="K3" s="5"/>
    </row>
    <row r="4" spans="1:11" ht="19" x14ac:dyDescent="0.25">
      <c r="A4" s="17" t="s">
        <v>58</v>
      </c>
      <c r="B4" s="18">
        <v>8589</v>
      </c>
      <c r="C4" s="18">
        <v>7280</v>
      </c>
      <c r="D4" s="18">
        <v>3389</v>
      </c>
      <c r="E4" s="18">
        <v>1990</v>
      </c>
      <c r="F4" s="17">
        <v>847</v>
      </c>
      <c r="G4" s="5"/>
      <c r="H4" s="5"/>
      <c r="I4" s="5"/>
      <c r="J4" s="5"/>
      <c r="K4" s="5"/>
    </row>
    <row r="5" spans="1:11" ht="19" x14ac:dyDescent="0.25">
      <c r="A5" s="42" t="s">
        <v>59</v>
      </c>
      <c r="B5" s="44">
        <v>0.66290000000000004</v>
      </c>
      <c r="C5" s="44">
        <v>0.95430000000000004</v>
      </c>
      <c r="D5" s="45">
        <v>-0.37309999999999999</v>
      </c>
      <c r="E5" s="44">
        <v>0.83440000000000003</v>
      </c>
      <c r="F5" s="42" t="s">
        <v>18</v>
      </c>
      <c r="G5" s="5"/>
      <c r="H5" s="5"/>
      <c r="I5" s="5"/>
      <c r="J5" s="5"/>
      <c r="K5" s="5"/>
    </row>
    <row r="6" spans="1:11" ht="19" x14ac:dyDescent="0.25">
      <c r="A6" s="42"/>
      <c r="B6" s="44"/>
      <c r="C6" s="44"/>
      <c r="D6" s="45"/>
      <c r="E6" s="44"/>
      <c r="F6" s="42"/>
      <c r="G6" s="5"/>
      <c r="H6" s="5"/>
      <c r="I6" s="5"/>
      <c r="J6" s="5"/>
      <c r="K6" s="5"/>
    </row>
    <row r="7" spans="1:11" ht="19" x14ac:dyDescent="0.25">
      <c r="A7" s="17" t="s">
        <v>60</v>
      </c>
      <c r="B7" s="19">
        <v>0.38719999999999999</v>
      </c>
      <c r="C7" s="19">
        <v>0.39529999999999998</v>
      </c>
      <c r="D7" s="19">
        <v>0.32290000000000002</v>
      </c>
      <c r="E7" s="19">
        <v>0.48</v>
      </c>
      <c r="F7" s="19">
        <v>0.40150000000000002</v>
      </c>
      <c r="G7" s="5"/>
      <c r="H7" s="5"/>
      <c r="I7" s="5"/>
      <c r="J7" s="5"/>
      <c r="K7" s="5"/>
    </row>
    <row r="8" spans="1:11" ht="19" x14ac:dyDescent="0.25">
      <c r="A8" s="17" t="s">
        <v>61</v>
      </c>
      <c r="B8" s="18">
        <v>23065</v>
      </c>
      <c r="C8" s="18">
        <v>9999</v>
      </c>
      <c r="D8" s="18">
        <v>3827</v>
      </c>
      <c r="E8" s="18">
        <v>4650</v>
      </c>
      <c r="F8" s="18">
        <v>2429</v>
      </c>
      <c r="G8" s="5"/>
      <c r="H8" s="5"/>
      <c r="I8" s="5"/>
      <c r="J8" s="5"/>
      <c r="K8" s="5"/>
    </row>
    <row r="9" spans="1:11" ht="19" x14ac:dyDescent="0.25">
      <c r="A9" s="17" t="s">
        <v>62</v>
      </c>
      <c r="B9" s="18">
        <v>23065</v>
      </c>
      <c r="C9" s="18">
        <v>9999</v>
      </c>
      <c r="D9" s="18">
        <v>3827</v>
      </c>
      <c r="E9" s="18">
        <v>4650</v>
      </c>
      <c r="F9" s="18">
        <v>2429</v>
      </c>
      <c r="G9" s="5"/>
      <c r="H9" s="5"/>
      <c r="I9" s="5"/>
      <c r="J9" s="5"/>
      <c r="K9" s="5"/>
    </row>
    <row r="10" spans="1:11" ht="19" x14ac:dyDescent="0.25">
      <c r="A10" s="17" t="s">
        <v>63</v>
      </c>
      <c r="B10" s="18">
        <v>23065</v>
      </c>
      <c r="C10" s="18">
        <v>9999</v>
      </c>
      <c r="D10" s="18">
        <v>3827</v>
      </c>
      <c r="E10" s="18">
        <v>4650</v>
      </c>
      <c r="F10" s="18">
        <v>2433</v>
      </c>
      <c r="G10" s="5"/>
      <c r="H10" s="5"/>
      <c r="I10" s="5"/>
      <c r="J10" s="5"/>
      <c r="K10" s="5"/>
    </row>
    <row r="11" spans="1:11" ht="19" x14ac:dyDescent="0.25">
      <c r="A11" s="42" t="s">
        <v>64</v>
      </c>
      <c r="B11" s="42" t="s">
        <v>18</v>
      </c>
      <c r="C11" s="42" t="s">
        <v>18</v>
      </c>
      <c r="D11" s="42" t="s">
        <v>18</v>
      </c>
      <c r="E11" s="42" t="s">
        <v>18</v>
      </c>
      <c r="F11" s="42">
        <v>-4</v>
      </c>
      <c r="G11" s="5"/>
      <c r="H11" s="5"/>
      <c r="I11" s="5"/>
      <c r="J11" s="5"/>
      <c r="K11" s="5"/>
    </row>
    <row r="12" spans="1:11" ht="19" x14ac:dyDescent="0.25">
      <c r="A12" s="42"/>
      <c r="B12" s="42"/>
      <c r="C12" s="42"/>
      <c r="D12" s="42"/>
      <c r="E12" s="42"/>
      <c r="F12" s="42"/>
      <c r="G12" s="5"/>
      <c r="H12" s="5"/>
      <c r="I12" s="5"/>
      <c r="J12" s="5"/>
      <c r="K12" s="5"/>
    </row>
    <row r="13" spans="1:11" ht="19" x14ac:dyDescent="0.25">
      <c r="A13" s="42" t="s">
        <v>65</v>
      </c>
      <c r="B13" s="44">
        <v>1.3067</v>
      </c>
      <c r="C13" s="44">
        <v>1.6128</v>
      </c>
      <c r="D13" s="45">
        <v>-0.17699999999999999</v>
      </c>
      <c r="E13" s="44">
        <v>0.91439999999999999</v>
      </c>
      <c r="F13" s="42" t="s">
        <v>18</v>
      </c>
      <c r="G13" s="5"/>
      <c r="H13" s="5"/>
      <c r="I13" s="5"/>
      <c r="J13" s="5"/>
      <c r="K13" s="5"/>
    </row>
    <row r="14" spans="1:11" ht="19" x14ac:dyDescent="0.25">
      <c r="A14" s="42"/>
      <c r="B14" s="44"/>
      <c r="C14" s="44"/>
      <c r="D14" s="45"/>
      <c r="E14" s="44"/>
      <c r="F14" s="42"/>
      <c r="G14" s="5"/>
      <c r="H14" s="5"/>
      <c r="I14" s="5"/>
      <c r="J14" s="5"/>
      <c r="K14" s="5"/>
    </row>
    <row r="15" spans="1:11" ht="19" x14ac:dyDescent="0.25">
      <c r="A15" s="17" t="s">
        <v>66</v>
      </c>
      <c r="B15" s="21">
        <v>5.66</v>
      </c>
      <c r="C15" s="21">
        <v>6.09</v>
      </c>
      <c r="D15" s="21">
        <v>7.05</v>
      </c>
      <c r="E15" s="21">
        <v>5.79</v>
      </c>
      <c r="F15" s="21">
        <v>6.86</v>
      </c>
      <c r="G15" s="5"/>
      <c r="H15" s="5"/>
      <c r="I15" s="5"/>
      <c r="J15" s="5"/>
      <c r="K15" s="5"/>
    </row>
    <row r="16" spans="1:11" ht="19" x14ac:dyDescent="0.25">
      <c r="A16" s="17" t="s">
        <v>67</v>
      </c>
      <c r="B16" s="18">
        <v>10080</v>
      </c>
      <c r="C16" s="18">
        <v>5282</v>
      </c>
      <c r="D16" s="18">
        <v>5159</v>
      </c>
      <c r="E16" s="18">
        <v>2605</v>
      </c>
      <c r="F16" s="18">
        <v>1826</v>
      </c>
      <c r="G16" s="5"/>
      <c r="H16" s="5"/>
      <c r="I16" s="5"/>
      <c r="J16" s="5"/>
      <c r="K16" s="5"/>
    </row>
    <row r="17" spans="1:11" ht="19" x14ac:dyDescent="0.25">
      <c r="A17" s="17" t="s">
        <v>68</v>
      </c>
      <c r="B17" s="18">
        <v>3273</v>
      </c>
      <c r="C17" s="18">
        <v>2058</v>
      </c>
      <c r="D17" s="18">
        <v>2263</v>
      </c>
      <c r="E17" s="18">
        <v>1122</v>
      </c>
      <c r="F17" s="17">
        <v>737</v>
      </c>
      <c r="G17" s="5"/>
      <c r="H17" s="5"/>
      <c r="I17" s="5"/>
      <c r="J17" s="5"/>
      <c r="K17" s="5"/>
    </row>
    <row r="18" spans="1:11" ht="19" x14ac:dyDescent="0.25">
      <c r="A18" s="17" t="s">
        <v>69</v>
      </c>
      <c r="B18" s="18">
        <v>3399</v>
      </c>
      <c r="C18" s="18">
        <v>1505</v>
      </c>
      <c r="D18" s="17">
        <v>466</v>
      </c>
      <c r="E18" s="17">
        <v>692</v>
      </c>
      <c r="F18" s="17">
        <v>457</v>
      </c>
      <c r="G18" s="5"/>
      <c r="H18" s="5"/>
      <c r="I18" s="5"/>
      <c r="J18" s="5"/>
      <c r="K18" s="5"/>
    </row>
    <row r="19" spans="1:11" ht="19" x14ac:dyDescent="0.25">
      <c r="A19" s="17" t="s">
        <v>70</v>
      </c>
      <c r="B19" s="18">
        <v>3408</v>
      </c>
      <c r="C19" s="18">
        <v>1719</v>
      </c>
      <c r="D19" s="18">
        <v>2430</v>
      </c>
      <c r="E19" s="17">
        <v>791</v>
      </c>
      <c r="F19" s="17">
        <v>632</v>
      </c>
      <c r="G19" s="5"/>
      <c r="H19" s="5"/>
      <c r="I19" s="5"/>
      <c r="J19" s="5"/>
      <c r="K19" s="5"/>
    </row>
    <row r="20" spans="1:11" ht="19" x14ac:dyDescent="0.25">
      <c r="A20" s="17" t="s">
        <v>71</v>
      </c>
      <c r="B20" s="18">
        <v>3771</v>
      </c>
      <c r="C20" s="18">
        <v>3080</v>
      </c>
      <c r="D20" s="17">
        <v>791</v>
      </c>
      <c r="E20" s="17">
        <v>366</v>
      </c>
      <c r="F20" s="17">
        <v>239</v>
      </c>
      <c r="G20" s="5"/>
      <c r="H20" s="5"/>
      <c r="I20" s="5"/>
      <c r="J20" s="5"/>
      <c r="K20" s="5"/>
    </row>
    <row r="21" spans="1:11" ht="19" x14ac:dyDescent="0.25">
      <c r="A21" s="17" t="s">
        <v>5</v>
      </c>
      <c r="B21" s="18">
        <v>3300</v>
      </c>
      <c r="C21" s="17" t="s">
        <v>18</v>
      </c>
      <c r="D21" s="17" t="s">
        <v>18</v>
      </c>
      <c r="E21" s="17" t="s">
        <v>18</v>
      </c>
      <c r="F21" s="17" t="s">
        <v>18</v>
      </c>
      <c r="G21" s="5"/>
      <c r="H21" s="5"/>
      <c r="I21" s="5"/>
      <c r="J21" s="5"/>
      <c r="K21" s="5"/>
    </row>
    <row r="22" spans="1:11" ht="19" x14ac:dyDescent="0.25">
      <c r="A22" s="17" t="s">
        <v>72</v>
      </c>
      <c r="B22" s="17">
        <v>471</v>
      </c>
      <c r="C22" s="18">
        <v>3080</v>
      </c>
      <c r="D22" s="17">
        <v>791</v>
      </c>
      <c r="E22" s="17">
        <v>366</v>
      </c>
      <c r="F22" s="17">
        <v>239</v>
      </c>
      <c r="G22" s="5"/>
      <c r="H22" s="5"/>
      <c r="I22" s="5"/>
      <c r="J22" s="5"/>
      <c r="K22" s="5"/>
    </row>
    <row r="23" spans="1:11" ht="19" x14ac:dyDescent="0.25">
      <c r="A23" s="17" t="s">
        <v>73</v>
      </c>
      <c r="B23" s="18">
        <v>80126</v>
      </c>
      <c r="C23" s="18">
        <v>44345</v>
      </c>
      <c r="D23" s="18">
        <v>23073</v>
      </c>
      <c r="E23" s="18">
        <v>28829</v>
      </c>
      <c r="F23" s="18">
        <v>16055</v>
      </c>
      <c r="G23" s="5"/>
      <c r="H23" s="5"/>
      <c r="I23" s="5"/>
      <c r="J23" s="5"/>
      <c r="K23" s="5"/>
    </row>
    <row r="24" spans="1:11" ht="19" x14ac:dyDescent="0.25">
      <c r="A24" s="17" t="s">
        <v>74</v>
      </c>
      <c r="B24" s="18">
        <v>8076</v>
      </c>
      <c r="C24" s="18">
        <v>5260</v>
      </c>
      <c r="D24" s="18">
        <v>4845</v>
      </c>
      <c r="E24" s="18">
        <v>3607</v>
      </c>
      <c r="F24" s="18">
        <v>2856</v>
      </c>
      <c r="G24" s="5"/>
      <c r="H24" s="5"/>
      <c r="I24" s="5"/>
      <c r="J24" s="5"/>
      <c r="K24" s="5"/>
    </row>
    <row r="25" spans="1:11" ht="19" x14ac:dyDescent="0.25">
      <c r="A25" s="17" t="s">
        <v>75</v>
      </c>
      <c r="B25" s="18">
        <v>12477</v>
      </c>
      <c r="C25" s="18">
        <v>8769</v>
      </c>
      <c r="D25" s="18">
        <v>7539</v>
      </c>
      <c r="E25" s="18">
        <v>5510</v>
      </c>
      <c r="F25" s="18">
        <v>4264</v>
      </c>
      <c r="G25" s="5"/>
      <c r="H25" s="5"/>
      <c r="I25" s="5"/>
      <c r="J25" s="5"/>
      <c r="K25" s="5"/>
    </row>
    <row r="26" spans="1:11" ht="19" x14ac:dyDescent="0.25">
      <c r="A26" s="17" t="s">
        <v>76</v>
      </c>
      <c r="B26" s="17" t="s">
        <v>18</v>
      </c>
      <c r="C26" s="17" t="s">
        <v>18</v>
      </c>
      <c r="D26" s="17" t="s">
        <v>18</v>
      </c>
      <c r="E26" s="17" t="s">
        <v>18</v>
      </c>
      <c r="F26" s="17">
        <v>341</v>
      </c>
      <c r="G26" s="5"/>
      <c r="H26" s="5"/>
      <c r="I26" s="5"/>
      <c r="J26" s="5"/>
      <c r="K26" s="5"/>
    </row>
    <row r="27" spans="1:11" ht="19" x14ac:dyDescent="0.25">
      <c r="A27" s="17" t="s">
        <v>77</v>
      </c>
      <c r="B27" s="17">
        <v>511</v>
      </c>
      <c r="C27" s="17">
        <v>218</v>
      </c>
      <c r="D27" s="17">
        <v>218</v>
      </c>
      <c r="E27" s="17">
        <v>218</v>
      </c>
      <c r="F27" s="17">
        <v>218</v>
      </c>
      <c r="G27" s="5"/>
      <c r="H27" s="5"/>
      <c r="I27" s="5"/>
      <c r="J27" s="5"/>
      <c r="K27" s="5"/>
    </row>
    <row r="28" spans="1:11" ht="19" x14ac:dyDescent="0.25">
      <c r="A28" s="17" t="s">
        <v>78</v>
      </c>
      <c r="B28" s="17" t="s">
        <v>18</v>
      </c>
      <c r="C28" s="17" t="s">
        <v>18</v>
      </c>
      <c r="D28" s="17" t="s">
        <v>18</v>
      </c>
      <c r="E28" s="17" t="s">
        <v>18</v>
      </c>
      <c r="F28" s="17">
        <v>782</v>
      </c>
      <c r="G28" s="5"/>
      <c r="H28" s="5"/>
      <c r="I28" s="5"/>
      <c r="J28" s="5"/>
      <c r="K28" s="5"/>
    </row>
    <row r="29" spans="1:11" ht="19" x14ac:dyDescent="0.25">
      <c r="A29" s="17" t="s">
        <v>79</v>
      </c>
      <c r="B29" s="17">
        <v>529</v>
      </c>
      <c r="C29" s="17">
        <v>189</v>
      </c>
      <c r="D29" s="17">
        <v>382</v>
      </c>
      <c r="E29" s="17">
        <v>737</v>
      </c>
      <c r="F29" s="17">
        <v>558</v>
      </c>
      <c r="G29" s="5"/>
      <c r="H29" s="5"/>
      <c r="I29" s="5"/>
      <c r="J29" s="5"/>
      <c r="K29" s="5"/>
    </row>
    <row r="30" spans="1:11" ht="19" x14ac:dyDescent="0.25">
      <c r="A30" s="17" t="s">
        <v>80</v>
      </c>
      <c r="B30" s="18">
        <v>7568</v>
      </c>
      <c r="C30" s="18">
        <v>5200</v>
      </c>
      <c r="D30" s="18">
        <v>4303</v>
      </c>
      <c r="E30" s="18">
        <v>2852</v>
      </c>
      <c r="F30" s="18">
        <v>1187</v>
      </c>
      <c r="G30" s="5"/>
      <c r="H30" s="5"/>
      <c r="I30" s="5"/>
      <c r="J30" s="5"/>
      <c r="K30" s="5"/>
    </row>
    <row r="31" spans="1:11" ht="19" x14ac:dyDescent="0.25">
      <c r="A31" s="17" t="s">
        <v>81</v>
      </c>
      <c r="B31" s="18">
        <v>2076</v>
      </c>
      <c r="C31" s="18">
        <v>1816</v>
      </c>
      <c r="D31" s="18">
        <v>1598</v>
      </c>
      <c r="E31" s="17">
        <v>874</v>
      </c>
      <c r="F31" s="17">
        <v>471</v>
      </c>
      <c r="G31" s="5"/>
      <c r="H31" s="5"/>
      <c r="I31" s="5"/>
      <c r="J31" s="5"/>
      <c r="K31" s="5"/>
    </row>
    <row r="32" spans="1:11" ht="19" x14ac:dyDescent="0.25">
      <c r="A32" s="17" t="s">
        <v>7</v>
      </c>
      <c r="B32" s="18">
        <v>4401</v>
      </c>
      <c r="C32" s="18">
        <v>3509</v>
      </c>
      <c r="D32" s="18">
        <v>2694</v>
      </c>
      <c r="E32" s="18">
        <v>1903</v>
      </c>
      <c r="F32" s="18">
        <v>1408</v>
      </c>
      <c r="G32" s="5"/>
      <c r="H32" s="5"/>
      <c r="I32" s="5"/>
      <c r="J32" s="5"/>
      <c r="K32" s="5"/>
    </row>
    <row r="33" spans="1:11" ht="19" x14ac:dyDescent="0.25">
      <c r="A33" s="17" t="s">
        <v>82</v>
      </c>
      <c r="B33" s="18">
        <v>3387</v>
      </c>
      <c r="C33" s="18">
        <v>1546</v>
      </c>
      <c r="D33" s="17">
        <v>299</v>
      </c>
      <c r="E33" s="17">
        <v>266</v>
      </c>
      <c r="F33" s="17" t="s">
        <v>18</v>
      </c>
      <c r="G33" s="5"/>
      <c r="H33" s="5"/>
      <c r="I33" s="5"/>
      <c r="J33" s="5"/>
      <c r="K33" s="5"/>
    </row>
    <row r="34" spans="1:11" ht="19" x14ac:dyDescent="0.25">
      <c r="A34" s="17" t="s">
        <v>83</v>
      </c>
      <c r="B34" s="18">
        <v>3387</v>
      </c>
      <c r="C34" s="18">
        <v>1546</v>
      </c>
      <c r="D34" s="17">
        <v>299</v>
      </c>
      <c r="E34" s="17">
        <v>266</v>
      </c>
      <c r="F34" s="17" t="s">
        <v>18</v>
      </c>
      <c r="G34" s="5"/>
      <c r="H34" s="5"/>
      <c r="I34" s="5"/>
      <c r="J34" s="5"/>
      <c r="K34" s="5"/>
    </row>
    <row r="35" spans="1:11" ht="19" x14ac:dyDescent="0.25">
      <c r="A35" s="17" t="s">
        <v>8</v>
      </c>
      <c r="B35" s="18">
        <v>5995</v>
      </c>
      <c r="C35" s="18">
        <v>5542</v>
      </c>
      <c r="D35" s="18">
        <v>6048</v>
      </c>
      <c r="E35" s="18">
        <v>6688</v>
      </c>
      <c r="F35" s="18">
        <v>6930</v>
      </c>
      <c r="G35" s="5"/>
      <c r="H35" s="5"/>
      <c r="I35" s="5"/>
      <c r="J35" s="5"/>
      <c r="K35" s="5"/>
    </row>
    <row r="36" spans="1:11" ht="19" x14ac:dyDescent="0.25">
      <c r="A36" s="17" t="s">
        <v>84</v>
      </c>
      <c r="B36" s="18">
        <v>5188</v>
      </c>
      <c r="C36" s="18">
        <v>4430</v>
      </c>
      <c r="D36" s="18">
        <v>4372</v>
      </c>
      <c r="E36" s="18">
        <v>4349</v>
      </c>
      <c r="F36" s="18">
        <v>4193</v>
      </c>
      <c r="G36" s="5"/>
      <c r="H36" s="5"/>
      <c r="I36" s="5"/>
      <c r="J36" s="5"/>
      <c r="K36" s="5"/>
    </row>
    <row r="37" spans="1:11" ht="19" x14ac:dyDescent="0.25">
      <c r="A37" s="17" t="s">
        <v>85</v>
      </c>
      <c r="B37" s="17">
        <v>807</v>
      </c>
      <c r="C37" s="18">
        <v>1112</v>
      </c>
      <c r="D37" s="18">
        <v>1676</v>
      </c>
      <c r="E37" s="18">
        <v>2339</v>
      </c>
      <c r="F37" s="18">
        <v>2737</v>
      </c>
      <c r="G37" s="5"/>
      <c r="H37" s="5"/>
      <c r="I37" s="5"/>
      <c r="J37" s="5"/>
      <c r="K37" s="5"/>
    </row>
    <row r="38" spans="1:11" ht="19" x14ac:dyDescent="0.25">
      <c r="A38" s="17" t="s">
        <v>86</v>
      </c>
      <c r="B38" s="18">
        <v>3038</v>
      </c>
      <c r="C38" s="18">
        <v>2954</v>
      </c>
      <c r="D38" s="18">
        <v>3521</v>
      </c>
      <c r="E38" s="18">
        <v>3575</v>
      </c>
      <c r="F38" s="18">
        <v>2144</v>
      </c>
      <c r="G38" s="5"/>
      <c r="H38" s="5"/>
      <c r="I38" s="5"/>
      <c r="J38" s="5"/>
      <c r="K38" s="5"/>
    </row>
    <row r="39" spans="1:11" ht="19" x14ac:dyDescent="0.25">
      <c r="A39" s="17" t="s">
        <v>87</v>
      </c>
      <c r="B39" s="18">
        <v>2087</v>
      </c>
      <c r="C39" s="18">
        <v>2822</v>
      </c>
      <c r="D39" s="18">
        <v>3376</v>
      </c>
      <c r="E39" s="18">
        <v>2156</v>
      </c>
      <c r="F39" s="17" t="s">
        <v>18</v>
      </c>
      <c r="G39" s="5"/>
      <c r="H39" s="5"/>
      <c r="I39" s="5"/>
      <c r="J39" s="5"/>
      <c r="K39" s="5"/>
    </row>
    <row r="40" spans="1:11" ht="19" x14ac:dyDescent="0.25">
      <c r="A40" s="17" t="s">
        <v>88</v>
      </c>
      <c r="B40" s="17">
        <v>951</v>
      </c>
      <c r="C40" s="17">
        <v>132</v>
      </c>
      <c r="D40" s="17">
        <v>145</v>
      </c>
      <c r="E40" s="18">
        <v>1419</v>
      </c>
      <c r="F40" s="18">
        <v>2144</v>
      </c>
      <c r="G40" s="5"/>
      <c r="H40" s="5"/>
      <c r="I40" s="5"/>
      <c r="J40" s="5"/>
      <c r="K40" s="5"/>
    </row>
    <row r="41" spans="1:11" ht="19" x14ac:dyDescent="0.25">
      <c r="A41" s="17" t="s">
        <v>89</v>
      </c>
      <c r="B41" s="18">
        <v>111601</v>
      </c>
      <c r="C41" s="18">
        <v>65728</v>
      </c>
      <c r="D41" s="18">
        <v>41182</v>
      </c>
      <c r="E41" s="18">
        <v>44187</v>
      </c>
      <c r="F41" s="18">
        <v>28791</v>
      </c>
      <c r="G41" s="5"/>
      <c r="H41" s="5"/>
      <c r="I41" s="5"/>
      <c r="J41" s="5"/>
      <c r="K41" s="5"/>
    </row>
    <row r="42" spans="1:11" ht="19" x14ac:dyDescent="0.25">
      <c r="A42" s="42" t="s">
        <v>90</v>
      </c>
      <c r="B42" s="44">
        <v>0.69789999999999996</v>
      </c>
      <c r="C42" s="44">
        <v>0.59599999999999997</v>
      </c>
      <c r="D42" s="45">
        <v>-6.8000000000000005E-2</v>
      </c>
      <c r="E42" s="44">
        <v>0.53480000000000005</v>
      </c>
      <c r="F42" s="42" t="s">
        <v>18</v>
      </c>
      <c r="G42" s="5"/>
      <c r="H42" s="5"/>
      <c r="I42" s="5"/>
      <c r="J42" s="5"/>
      <c r="K42" s="5"/>
    </row>
    <row r="43" spans="1:11" ht="19" x14ac:dyDescent="0.25">
      <c r="A43" s="42"/>
      <c r="B43" s="44"/>
      <c r="C43" s="44"/>
      <c r="D43" s="45"/>
      <c r="E43" s="44"/>
      <c r="F43" s="42"/>
      <c r="G43" s="5"/>
      <c r="H43" s="5"/>
      <c r="I43" s="5"/>
      <c r="J43" s="5"/>
      <c r="K43" s="5"/>
    </row>
    <row r="44" spans="1:11" ht="19" x14ac:dyDescent="0.25">
      <c r="A44" s="17" t="s">
        <v>91</v>
      </c>
      <c r="B44" s="21">
        <v>1.47</v>
      </c>
      <c r="C44" s="17" t="s">
        <v>18</v>
      </c>
      <c r="D44" s="17" t="s">
        <v>18</v>
      </c>
      <c r="E44" s="17" t="s">
        <v>18</v>
      </c>
      <c r="F44" s="17" t="s">
        <v>18</v>
      </c>
      <c r="G44" s="5"/>
      <c r="H44" s="5"/>
      <c r="I44" s="5"/>
      <c r="J44" s="5"/>
      <c r="K44" s="5"/>
    </row>
    <row r="45" spans="1:11" x14ac:dyDescent="0.2">
      <c r="A45" s="17" t="s">
        <v>92</v>
      </c>
      <c r="B45" s="19">
        <v>0.82199999999999995</v>
      </c>
      <c r="C45" s="17" t="s">
        <v>18</v>
      </c>
      <c r="D45" s="17" t="s">
        <v>18</v>
      </c>
      <c r="E45" s="17" t="s">
        <v>18</v>
      </c>
      <c r="F45" s="17" t="s">
        <v>18</v>
      </c>
    </row>
    <row r="46" spans="1:11" ht="19" x14ac:dyDescent="0.25">
      <c r="A46" s="5" t="s">
        <v>93</v>
      </c>
    </row>
    <row r="47" spans="1:11" x14ac:dyDescent="0.2">
      <c r="A47" s="2" t="s">
        <v>94</v>
      </c>
      <c r="B47" s="2">
        <v>2025</v>
      </c>
      <c r="C47" s="2">
        <v>2024</v>
      </c>
      <c r="D47" s="2">
        <v>2023</v>
      </c>
      <c r="E47" s="2">
        <v>2022</v>
      </c>
      <c r="F47" s="2">
        <v>2021</v>
      </c>
      <c r="G47" s="37" t="s">
        <v>15</v>
      </c>
      <c r="H47" s="37"/>
      <c r="I47" s="37"/>
      <c r="J47" s="37"/>
      <c r="K47" s="37"/>
    </row>
    <row r="48" spans="1:11" ht="19" x14ac:dyDescent="0.25">
      <c r="A48" s="1" t="s">
        <v>95</v>
      </c>
      <c r="B48" s="1">
        <v>288</v>
      </c>
      <c r="C48" s="4">
        <v>1478</v>
      </c>
      <c r="D48" s="4">
        <v>1426</v>
      </c>
      <c r="E48" s="1">
        <v>144</v>
      </c>
      <c r="F48" s="4">
        <v>1120</v>
      </c>
      <c r="G48" s="5"/>
      <c r="H48" s="5"/>
      <c r="I48" s="5"/>
      <c r="J48" s="5"/>
      <c r="K48" s="5"/>
    </row>
    <row r="49" spans="1:11" ht="19" x14ac:dyDescent="0.25">
      <c r="A49" s="1" t="s">
        <v>96</v>
      </c>
      <c r="B49" s="1">
        <v>288</v>
      </c>
      <c r="C49" s="4">
        <v>1478</v>
      </c>
      <c r="D49" s="4">
        <v>1426</v>
      </c>
      <c r="E49" s="1">
        <v>144</v>
      </c>
      <c r="F49" s="4">
        <v>1120</v>
      </c>
      <c r="G49" s="5"/>
      <c r="H49" s="5"/>
      <c r="I49" s="5"/>
      <c r="J49" s="5"/>
      <c r="K49" s="5"/>
    </row>
    <row r="50" spans="1:11" ht="19" x14ac:dyDescent="0.25">
      <c r="A50" s="1" t="s">
        <v>6</v>
      </c>
      <c r="B50" s="4">
        <v>6310</v>
      </c>
      <c r="C50" s="4">
        <v>2699</v>
      </c>
      <c r="D50" s="4">
        <v>1193</v>
      </c>
      <c r="E50" s="4">
        <v>1783</v>
      </c>
      <c r="F50" s="4">
        <v>1201</v>
      </c>
      <c r="G50" s="5"/>
      <c r="H50" s="5"/>
      <c r="I50" s="5"/>
      <c r="J50" s="5"/>
      <c r="K50" s="5"/>
    </row>
    <row r="51" spans="1:11" ht="19" x14ac:dyDescent="0.25">
      <c r="A51" s="38" t="s">
        <v>97</v>
      </c>
      <c r="B51" s="39">
        <v>1.3379000000000001</v>
      </c>
      <c r="C51" s="39">
        <v>1.2624</v>
      </c>
      <c r="D51" s="40">
        <v>-0.33090000000000003</v>
      </c>
      <c r="E51" s="39">
        <v>0.48459999999999998</v>
      </c>
      <c r="F51" s="38" t="s">
        <v>18</v>
      </c>
      <c r="G51" s="5"/>
      <c r="H51" s="5"/>
      <c r="I51" s="5"/>
      <c r="J51" s="5"/>
      <c r="K51" s="5"/>
    </row>
    <row r="52" spans="1:11" ht="19" x14ac:dyDescent="0.25">
      <c r="A52" s="38"/>
      <c r="B52" s="39"/>
      <c r="C52" s="39"/>
      <c r="D52" s="40"/>
      <c r="E52" s="39"/>
      <c r="F52" s="38"/>
      <c r="G52" s="5"/>
      <c r="H52" s="5"/>
      <c r="I52" s="5"/>
      <c r="J52" s="5"/>
      <c r="K52" s="5"/>
    </row>
    <row r="53" spans="1:11" ht="19" x14ac:dyDescent="0.25">
      <c r="A53" s="1" t="s">
        <v>98</v>
      </c>
      <c r="B53" s="1">
        <v>881</v>
      </c>
      <c r="C53" s="1">
        <v>296</v>
      </c>
      <c r="D53" s="1">
        <v>467</v>
      </c>
      <c r="E53" s="1" t="s">
        <v>18</v>
      </c>
      <c r="F53" s="1">
        <v>61</v>
      </c>
      <c r="G53" s="5"/>
      <c r="H53" s="5"/>
      <c r="I53" s="5"/>
      <c r="J53" s="5"/>
      <c r="K53" s="5"/>
    </row>
    <row r="54" spans="1:11" ht="19" x14ac:dyDescent="0.25">
      <c r="A54" s="1" t="s">
        <v>99</v>
      </c>
      <c r="B54" s="4">
        <v>10568</v>
      </c>
      <c r="C54" s="4">
        <v>6158</v>
      </c>
      <c r="D54" s="4">
        <v>3477</v>
      </c>
      <c r="E54" s="4">
        <v>2408</v>
      </c>
      <c r="F54" s="4">
        <v>1543</v>
      </c>
      <c r="G54" s="5"/>
      <c r="H54" s="5"/>
      <c r="I54" s="5"/>
      <c r="J54" s="5"/>
      <c r="K54" s="5"/>
    </row>
    <row r="55" spans="1:11" ht="19" x14ac:dyDescent="0.25">
      <c r="A55" s="1" t="s">
        <v>100</v>
      </c>
      <c r="B55" s="1">
        <v>848</v>
      </c>
      <c r="C55" s="1">
        <v>675</v>
      </c>
      <c r="D55" s="1">
        <v>530</v>
      </c>
      <c r="E55" s="1">
        <v>409</v>
      </c>
      <c r="F55" s="1">
        <v>323</v>
      </c>
      <c r="G55" s="5"/>
      <c r="H55" s="5"/>
      <c r="I55" s="5"/>
      <c r="J55" s="5"/>
      <c r="K55" s="5"/>
    </row>
    <row r="56" spans="1:11" ht="19" x14ac:dyDescent="0.25">
      <c r="A56" s="1" t="s">
        <v>101</v>
      </c>
      <c r="B56" s="4">
        <v>9720</v>
      </c>
      <c r="C56" s="4">
        <v>5483</v>
      </c>
      <c r="D56" s="4">
        <v>2947</v>
      </c>
      <c r="E56" s="4">
        <v>1999</v>
      </c>
      <c r="F56" s="4">
        <v>1220</v>
      </c>
      <c r="G56" s="5"/>
      <c r="H56" s="5"/>
      <c r="I56" s="5"/>
      <c r="J56" s="5"/>
      <c r="K56" s="5"/>
    </row>
    <row r="57" spans="1:11" ht="19" x14ac:dyDescent="0.25">
      <c r="A57" s="1" t="s">
        <v>102</v>
      </c>
      <c r="B57" s="4">
        <v>18047</v>
      </c>
      <c r="C57" s="4">
        <v>10631</v>
      </c>
      <c r="D57" s="4">
        <v>6563</v>
      </c>
      <c r="E57" s="4">
        <v>4335</v>
      </c>
      <c r="F57" s="4">
        <v>3925</v>
      </c>
      <c r="G57" s="5"/>
      <c r="H57" s="5"/>
      <c r="I57" s="5"/>
      <c r="J57" s="5"/>
      <c r="K57" s="5"/>
    </row>
    <row r="58" spans="1:11" ht="19" x14ac:dyDescent="0.25">
      <c r="A58" s="1" t="s">
        <v>103</v>
      </c>
      <c r="B58" s="22">
        <v>4.4400000000000004</v>
      </c>
      <c r="C58" s="22">
        <v>4.17</v>
      </c>
      <c r="D58" s="22">
        <v>3.52</v>
      </c>
      <c r="E58" s="22">
        <v>6.65</v>
      </c>
      <c r="F58" s="22">
        <v>4.09</v>
      </c>
      <c r="G58" s="5"/>
      <c r="H58" s="5"/>
      <c r="I58" s="5"/>
      <c r="J58" s="5"/>
      <c r="K58" s="5"/>
    </row>
    <row r="59" spans="1:11" ht="19" x14ac:dyDescent="0.25">
      <c r="A59" s="1" t="s">
        <v>104</v>
      </c>
      <c r="B59" s="22">
        <v>3.88</v>
      </c>
      <c r="C59" s="22">
        <v>3.67</v>
      </c>
      <c r="D59" s="22">
        <v>2.73</v>
      </c>
      <c r="E59" s="22">
        <v>6.05</v>
      </c>
      <c r="F59" s="22">
        <v>3.63</v>
      </c>
      <c r="G59" s="5"/>
      <c r="H59" s="5"/>
      <c r="I59" s="5"/>
      <c r="J59" s="5"/>
      <c r="K59" s="5"/>
    </row>
    <row r="60" spans="1:11" ht="19" x14ac:dyDescent="0.25">
      <c r="A60" s="1" t="s">
        <v>105</v>
      </c>
      <c r="B60" s="22">
        <v>2.39</v>
      </c>
      <c r="C60" s="22">
        <v>2.44</v>
      </c>
      <c r="D60" s="22">
        <v>2.0299999999999998</v>
      </c>
      <c r="E60" s="22">
        <v>4.8899999999999997</v>
      </c>
      <c r="F60" s="22">
        <v>2.95</v>
      </c>
      <c r="G60" s="5"/>
      <c r="H60" s="5"/>
      <c r="I60" s="5"/>
      <c r="J60" s="5"/>
      <c r="K60" s="5"/>
    </row>
    <row r="61" spans="1:11" ht="19" x14ac:dyDescent="0.25">
      <c r="A61" s="1" t="s">
        <v>106</v>
      </c>
      <c r="B61" s="4">
        <v>9982</v>
      </c>
      <c r="C61" s="4">
        <v>9578</v>
      </c>
      <c r="D61" s="4">
        <v>10605</v>
      </c>
      <c r="E61" s="4">
        <v>11687</v>
      </c>
      <c r="F61" s="4">
        <v>6598</v>
      </c>
      <c r="G61" s="5"/>
      <c r="H61" s="5"/>
      <c r="I61" s="5"/>
      <c r="J61" s="5"/>
      <c r="K61" s="5"/>
    </row>
    <row r="62" spans="1:11" ht="19" x14ac:dyDescent="0.25">
      <c r="A62" s="1" t="s">
        <v>107</v>
      </c>
      <c r="B62" s="4">
        <v>8463</v>
      </c>
      <c r="C62" s="4">
        <v>8459</v>
      </c>
      <c r="D62" s="4">
        <v>9703</v>
      </c>
      <c r="E62" s="4">
        <v>10946</v>
      </c>
      <c r="F62" s="4">
        <v>5964</v>
      </c>
      <c r="G62" s="5"/>
      <c r="H62" s="5"/>
      <c r="I62" s="5"/>
      <c r="J62" s="5"/>
      <c r="K62" s="5"/>
    </row>
    <row r="63" spans="1:11" ht="19" x14ac:dyDescent="0.25">
      <c r="A63" s="1" t="s">
        <v>108</v>
      </c>
      <c r="B63" s="4">
        <v>8463</v>
      </c>
      <c r="C63" s="4">
        <v>8459</v>
      </c>
      <c r="D63" s="4">
        <v>9703</v>
      </c>
      <c r="E63" s="4">
        <v>10946</v>
      </c>
      <c r="F63" s="4">
        <v>5964</v>
      </c>
      <c r="G63" s="5"/>
      <c r="H63" s="5"/>
      <c r="I63" s="5"/>
      <c r="J63" s="5"/>
      <c r="K63" s="5"/>
    </row>
    <row r="64" spans="1:11" ht="19" x14ac:dyDescent="0.25">
      <c r="A64" s="1" t="s">
        <v>109</v>
      </c>
      <c r="B64" s="1" t="s">
        <v>18</v>
      </c>
      <c r="C64" s="1" t="s">
        <v>18</v>
      </c>
      <c r="D64" s="1" t="s">
        <v>18</v>
      </c>
      <c r="E64" s="1" t="s">
        <v>18</v>
      </c>
      <c r="F64" s="1">
        <v>33</v>
      </c>
      <c r="G64" s="5"/>
      <c r="H64" s="5"/>
      <c r="I64" s="5"/>
      <c r="J64" s="5"/>
      <c r="K64" s="5"/>
    </row>
    <row r="65" spans="1:11" ht="19" x14ac:dyDescent="0.25">
      <c r="A65" s="38" t="s">
        <v>110</v>
      </c>
      <c r="B65" s="41">
        <v>-10093</v>
      </c>
      <c r="C65" s="41">
        <v>-5619</v>
      </c>
      <c r="D65" s="41">
        <v>-3149</v>
      </c>
      <c r="E65" s="38">
        <v>-977</v>
      </c>
      <c r="F65" s="38">
        <v>-565</v>
      </c>
      <c r="G65" s="5"/>
      <c r="H65" s="5"/>
      <c r="I65" s="5"/>
      <c r="J65" s="5"/>
      <c r="K65" s="5"/>
    </row>
    <row r="66" spans="1:11" ht="19" x14ac:dyDescent="0.25">
      <c r="A66" s="38"/>
      <c r="B66" s="41"/>
      <c r="C66" s="41"/>
      <c r="D66" s="41"/>
      <c r="E66" s="38"/>
      <c r="F66" s="38"/>
      <c r="G66" s="5"/>
      <c r="H66" s="5"/>
      <c r="I66" s="5"/>
      <c r="J66" s="5"/>
      <c r="K66" s="5"/>
    </row>
    <row r="67" spans="1:11" ht="19" x14ac:dyDescent="0.25">
      <c r="A67" s="1" t="s">
        <v>111</v>
      </c>
      <c r="B67" s="1">
        <v>886</v>
      </c>
      <c r="C67" s="1">
        <v>462</v>
      </c>
      <c r="D67" s="1">
        <v>247</v>
      </c>
      <c r="E67" s="1">
        <v>245</v>
      </c>
      <c r="F67" s="1">
        <v>241</v>
      </c>
      <c r="G67" s="5"/>
      <c r="H67" s="5"/>
      <c r="I67" s="5"/>
      <c r="J67" s="5"/>
      <c r="K67" s="5"/>
    </row>
    <row r="68" spans="1:11" ht="19" x14ac:dyDescent="0.25">
      <c r="A68" s="1" t="s">
        <v>112</v>
      </c>
      <c r="B68" s="4">
        <v>10979</v>
      </c>
      <c r="C68" s="4">
        <v>6081</v>
      </c>
      <c r="D68" s="4">
        <v>3396</v>
      </c>
      <c r="E68" s="4">
        <v>1222</v>
      </c>
      <c r="F68" s="1">
        <v>806</v>
      </c>
      <c r="G68" s="5"/>
      <c r="H68" s="5"/>
      <c r="I68" s="5"/>
      <c r="J68" s="5"/>
      <c r="K68" s="5"/>
    </row>
    <row r="69" spans="1:11" ht="19" x14ac:dyDescent="0.25">
      <c r="A69" s="1" t="s">
        <v>113</v>
      </c>
      <c r="B69" s="4">
        <v>3359</v>
      </c>
      <c r="C69" s="4">
        <v>2079</v>
      </c>
      <c r="D69" s="4">
        <v>1666</v>
      </c>
      <c r="E69" s="4">
        <v>1308</v>
      </c>
      <c r="F69" s="4">
        <v>1101</v>
      </c>
      <c r="G69" s="5"/>
      <c r="H69" s="5"/>
      <c r="I69" s="5"/>
      <c r="J69" s="5"/>
      <c r="K69" s="5"/>
    </row>
    <row r="70" spans="1:11" ht="19" x14ac:dyDescent="0.25">
      <c r="A70" s="1" t="s">
        <v>114</v>
      </c>
      <c r="B70" s="4">
        <v>2383</v>
      </c>
      <c r="C70" s="4">
        <v>1506</v>
      </c>
      <c r="D70" s="4">
        <v>1448</v>
      </c>
      <c r="E70" s="4">
        <v>1106</v>
      </c>
      <c r="F70" s="1">
        <v>938</v>
      </c>
      <c r="G70" s="5"/>
      <c r="H70" s="5"/>
      <c r="I70" s="5"/>
      <c r="J70" s="5"/>
      <c r="K70" s="5"/>
    </row>
    <row r="71" spans="1:11" ht="19" x14ac:dyDescent="0.25">
      <c r="A71" s="1" t="s">
        <v>115</v>
      </c>
      <c r="B71" s="1">
        <v>976</v>
      </c>
      <c r="C71" s="1">
        <v>573</v>
      </c>
      <c r="D71" s="1">
        <v>218</v>
      </c>
      <c r="E71" s="1">
        <v>202</v>
      </c>
      <c r="F71" s="1">
        <v>163</v>
      </c>
      <c r="G71" s="5"/>
      <c r="H71" s="5"/>
      <c r="I71" s="5"/>
      <c r="J71" s="5"/>
      <c r="K71" s="5"/>
    </row>
    <row r="72" spans="1:11" ht="19" x14ac:dyDescent="0.25">
      <c r="A72" s="1" t="s">
        <v>116</v>
      </c>
      <c r="B72" s="4">
        <v>32274</v>
      </c>
      <c r="C72" s="4">
        <v>22750</v>
      </c>
      <c r="D72" s="4">
        <v>19081</v>
      </c>
      <c r="E72" s="4">
        <v>17575</v>
      </c>
      <c r="F72" s="4">
        <v>11898</v>
      </c>
      <c r="G72" s="5"/>
      <c r="H72" s="5"/>
      <c r="I72" s="5"/>
      <c r="J72" s="5"/>
      <c r="K72" s="5"/>
    </row>
    <row r="73" spans="1:11" ht="19" x14ac:dyDescent="0.25">
      <c r="A73" s="1" t="s">
        <v>117</v>
      </c>
      <c r="B73" s="6">
        <v>0.28920000000000001</v>
      </c>
      <c r="C73" s="6">
        <v>0.34610000000000002</v>
      </c>
      <c r="D73" s="6">
        <v>0.46329999999999999</v>
      </c>
      <c r="E73" s="6">
        <v>0.3977</v>
      </c>
      <c r="F73" s="6">
        <v>0.4133</v>
      </c>
      <c r="G73" s="5"/>
      <c r="H73" s="5"/>
      <c r="I73" s="5"/>
      <c r="J73" s="5"/>
      <c r="K73" s="5"/>
    </row>
    <row r="74" spans="1:11" ht="19" x14ac:dyDescent="0.25">
      <c r="A74" s="1" t="s">
        <v>118</v>
      </c>
      <c r="B74" s="4">
        <v>79327</v>
      </c>
      <c r="C74" s="4">
        <v>42978</v>
      </c>
      <c r="D74" s="4">
        <v>22101</v>
      </c>
      <c r="E74" s="4">
        <v>26612</v>
      </c>
      <c r="F74" s="4">
        <v>16893</v>
      </c>
      <c r="G74" s="5"/>
      <c r="H74" s="5"/>
      <c r="I74" s="5"/>
      <c r="J74" s="5"/>
      <c r="K74" s="5"/>
    </row>
    <row r="75" spans="1:11" ht="19" x14ac:dyDescent="0.25">
      <c r="A75" s="1" t="s">
        <v>119</v>
      </c>
      <c r="B75" s="1">
        <v>24</v>
      </c>
      <c r="C75" s="1">
        <v>2</v>
      </c>
      <c r="D75" s="1">
        <v>2</v>
      </c>
      <c r="E75" s="1">
        <v>3</v>
      </c>
      <c r="F75" s="1">
        <v>1</v>
      </c>
      <c r="G75" s="5"/>
      <c r="H75" s="5"/>
      <c r="I75" s="5"/>
      <c r="J75" s="5"/>
      <c r="K75" s="5"/>
    </row>
    <row r="76" spans="1:11" ht="19" x14ac:dyDescent="0.25">
      <c r="A76" s="1" t="s">
        <v>120</v>
      </c>
      <c r="B76" s="4">
        <v>11237</v>
      </c>
      <c r="C76" s="4">
        <v>13132</v>
      </c>
      <c r="D76" s="4">
        <v>11971</v>
      </c>
      <c r="E76" s="4">
        <v>10385</v>
      </c>
      <c r="F76" s="4">
        <v>8721</v>
      </c>
      <c r="G76" s="5"/>
      <c r="H76" s="5"/>
      <c r="I76" s="5"/>
      <c r="J76" s="5"/>
      <c r="K76" s="5"/>
    </row>
    <row r="77" spans="1:11" ht="19" x14ac:dyDescent="0.25">
      <c r="A77" s="1" t="s">
        <v>11</v>
      </c>
      <c r="B77" s="4">
        <v>68038</v>
      </c>
      <c r="C77" s="4">
        <v>29817</v>
      </c>
      <c r="D77" s="4">
        <v>10171</v>
      </c>
      <c r="E77" s="4">
        <v>16235</v>
      </c>
      <c r="F77" s="4">
        <v>18908</v>
      </c>
      <c r="G77" s="5"/>
      <c r="H77" s="5"/>
      <c r="I77" s="5"/>
      <c r="J77" s="5"/>
      <c r="K77" s="5"/>
    </row>
    <row r="78" spans="1:11" ht="19" x14ac:dyDescent="0.25">
      <c r="A78" s="38" t="s">
        <v>121</v>
      </c>
      <c r="B78" s="38">
        <v>28</v>
      </c>
      <c r="C78" s="38">
        <v>27</v>
      </c>
      <c r="D78" s="38">
        <v>-43</v>
      </c>
      <c r="E78" s="38">
        <v>-11</v>
      </c>
      <c r="F78" s="38">
        <v>19</v>
      </c>
      <c r="G78" s="5"/>
      <c r="H78" s="5"/>
      <c r="I78" s="5"/>
      <c r="J78" s="5"/>
      <c r="K78" s="5"/>
    </row>
    <row r="79" spans="1:11" ht="19" x14ac:dyDescent="0.25">
      <c r="A79" s="38"/>
      <c r="B79" s="38"/>
      <c r="C79" s="38"/>
      <c r="D79" s="38"/>
      <c r="E79" s="38"/>
      <c r="F79" s="38"/>
      <c r="G79" s="5"/>
      <c r="H79" s="5"/>
      <c r="I79" s="5"/>
      <c r="J79" s="5"/>
      <c r="K79" s="5"/>
    </row>
    <row r="80" spans="1:11" ht="19" x14ac:dyDescent="0.25">
      <c r="A80" s="38" t="s">
        <v>122</v>
      </c>
      <c r="B80" s="38" t="s">
        <v>18</v>
      </c>
      <c r="C80" s="38" t="s">
        <v>18</v>
      </c>
      <c r="D80" s="38" t="s">
        <v>18</v>
      </c>
      <c r="E80" s="38" t="s">
        <v>18</v>
      </c>
      <c r="F80" s="41">
        <v>-10756</v>
      </c>
      <c r="G80" s="5"/>
      <c r="H80" s="5"/>
      <c r="I80" s="5"/>
      <c r="J80" s="5"/>
      <c r="K80" s="5"/>
    </row>
    <row r="81" spans="1:11" ht="19" x14ac:dyDescent="0.25">
      <c r="A81" s="38"/>
      <c r="B81" s="38"/>
      <c r="C81" s="38"/>
      <c r="D81" s="38"/>
      <c r="E81" s="38"/>
      <c r="F81" s="41"/>
      <c r="G81" s="5"/>
      <c r="H81" s="5"/>
      <c r="I81" s="5"/>
      <c r="J81" s="5"/>
      <c r="K81" s="5"/>
    </row>
    <row r="82" spans="1:11" ht="19" x14ac:dyDescent="0.25">
      <c r="A82" s="1" t="s">
        <v>123</v>
      </c>
      <c r="B82" s="6">
        <v>0.71079999999999999</v>
      </c>
      <c r="C82" s="6">
        <v>0.65390000000000004</v>
      </c>
      <c r="D82" s="6">
        <v>0.53669999999999995</v>
      </c>
      <c r="E82" s="6">
        <v>0.60229999999999995</v>
      </c>
      <c r="F82" s="6">
        <v>0.5867</v>
      </c>
      <c r="G82" s="5"/>
      <c r="H82" s="5"/>
      <c r="I82" s="5"/>
      <c r="J82" s="5"/>
      <c r="K82" s="5"/>
    </row>
    <row r="83" spans="1:11" ht="19" x14ac:dyDescent="0.25">
      <c r="A83" s="1" t="s">
        <v>124</v>
      </c>
      <c r="B83" s="4">
        <v>79327</v>
      </c>
      <c r="C83" s="4">
        <v>42978</v>
      </c>
      <c r="D83" s="4">
        <v>22101</v>
      </c>
      <c r="E83" s="4">
        <v>26612</v>
      </c>
      <c r="F83" s="4">
        <v>16893</v>
      </c>
      <c r="G83" s="5"/>
      <c r="H83" s="5"/>
      <c r="I83" s="5"/>
      <c r="J83" s="5"/>
      <c r="K83" s="5"/>
    </row>
    <row r="84" spans="1:11" ht="19" x14ac:dyDescent="0.25">
      <c r="A84" s="1" t="s">
        <v>125</v>
      </c>
      <c r="B84" s="6">
        <v>0.71079999999999999</v>
      </c>
      <c r="C84" s="6">
        <v>0.65390000000000004</v>
      </c>
      <c r="D84" s="6">
        <v>0.53669999999999995</v>
      </c>
      <c r="E84" s="6">
        <v>0.60229999999999995</v>
      </c>
      <c r="F84" s="6">
        <v>0.5867</v>
      </c>
      <c r="G84" s="5"/>
      <c r="H84" s="5"/>
      <c r="I84" s="5"/>
      <c r="J84" s="5"/>
      <c r="K84" s="5"/>
    </row>
    <row r="85" spans="1:11" ht="19" x14ac:dyDescent="0.25">
      <c r="A85" s="1" t="s">
        <v>126</v>
      </c>
      <c r="B85" s="4">
        <v>79327</v>
      </c>
      <c r="C85" s="4">
        <v>42978</v>
      </c>
      <c r="D85" s="4">
        <v>22101</v>
      </c>
      <c r="E85" s="4">
        <v>26612</v>
      </c>
      <c r="F85" s="4">
        <v>16893</v>
      </c>
      <c r="G85" s="5"/>
      <c r="H85" s="5"/>
      <c r="I85" s="5"/>
      <c r="J85" s="5"/>
      <c r="K85" s="5"/>
    </row>
    <row r="86" spans="1:11" ht="19" x14ac:dyDescent="0.25">
      <c r="A86" s="1" t="s">
        <v>93</v>
      </c>
      <c r="B86" s="4">
        <v>111601</v>
      </c>
      <c r="C86" s="4">
        <v>65728</v>
      </c>
      <c r="D86" s="4">
        <v>41182</v>
      </c>
      <c r="E86" s="4">
        <v>44187</v>
      </c>
      <c r="F86" s="4">
        <v>28791</v>
      </c>
      <c r="G86" s="5"/>
      <c r="H86" s="5"/>
      <c r="I86" s="5"/>
      <c r="J86" s="5"/>
      <c r="K86" s="5"/>
    </row>
  </sheetData>
  <mergeCells count="50">
    <mergeCell ref="F80:F81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65:F66"/>
    <mergeCell ref="G47:K47"/>
    <mergeCell ref="A51:A52"/>
    <mergeCell ref="B51:B52"/>
    <mergeCell ref="C51:C52"/>
    <mergeCell ref="D51:D52"/>
    <mergeCell ref="E51:E52"/>
    <mergeCell ref="F51:F52"/>
    <mergeCell ref="A65:A66"/>
    <mergeCell ref="B65:B66"/>
    <mergeCell ref="C65:C66"/>
    <mergeCell ref="D65:D66"/>
    <mergeCell ref="E65:E66"/>
    <mergeCell ref="F42:F43"/>
    <mergeCell ref="A13:A14"/>
    <mergeCell ref="B13:B14"/>
    <mergeCell ref="C13:C14"/>
    <mergeCell ref="D13:D14"/>
    <mergeCell ref="E13:E14"/>
    <mergeCell ref="F13:F14"/>
    <mergeCell ref="A42:A43"/>
    <mergeCell ref="B42:B43"/>
    <mergeCell ref="C42:C43"/>
    <mergeCell ref="D42:D43"/>
    <mergeCell ref="E42:E43"/>
    <mergeCell ref="F11:F12"/>
    <mergeCell ref="G2:K2"/>
    <mergeCell ref="A5:A6"/>
    <mergeCell ref="B5:B6"/>
    <mergeCell ref="C5:C6"/>
    <mergeCell ref="D5:D6"/>
    <mergeCell ref="E5:E6"/>
    <mergeCell ref="F5:F6"/>
    <mergeCell ref="A11:A12"/>
    <mergeCell ref="B11:B12"/>
    <mergeCell ref="C11:C12"/>
    <mergeCell ref="D11:D12"/>
    <mergeCell ref="E11:E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41F0-4500-A549-B50C-B9B0A269201E}">
  <dimension ref="A1:K89"/>
  <sheetViews>
    <sheetView workbookViewId="0">
      <selection activeCell="G62" sqref="G62"/>
    </sheetView>
  </sheetViews>
  <sheetFormatPr baseColWidth="10" defaultRowHeight="15" x14ac:dyDescent="0.2"/>
  <sheetData>
    <row r="1" spans="1:11" ht="18" x14ac:dyDescent="0.2">
      <c r="A1" s="15" t="s">
        <v>141</v>
      </c>
    </row>
    <row r="2" spans="1:11" x14ac:dyDescent="0.2">
      <c r="A2" s="16" t="s">
        <v>14</v>
      </c>
      <c r="B2" s="16">
        <v>2025</v>
      </c>
      <c r="C2" s="16">
        <v>2024</v>
      </c>
      <c r="D2" s="16">
        <v>2023</v>
      </c>
      <c r="E2" s="16">
        <v>2022</v>
      </c>
      <c r="F2" s="16">
        <v>2021</v>
      </c>
      <c r="G2" s="43" t="s">
        <v>15</v>
      </c>
      <c r="H2" s="43"/>
      <c r="I2" s="43"/>
      <c r="J2" s="43"/>
      <c r="K2" s="43"/>
    </row>
    <row r="3" spans="1:11" ht="19" x14ac:dyDescent="0.25">
      <c r="A3" s="17" t="s">
        <v>127</v>
      </c>
      <c r="B3" s="18">
        <v>72880</v>
      </c>
      <c r="C3" s="18">
        <v>29760</v>
      </c>
      <c r="D3" s="18">
        <v>4368</v>
      </c>
      <c r="E3" s="18">
        <v>9752</v>
      </c>
      <c r="F3" s="18">
        <v>4332</v>
      </c>
      <c r="G3" s="5"/>
      <c r="H3" s="5"/>
      <c r="I3" s="5"/>
      <c r="J3" s="5"/>
      <c r="K3" s="5"/>
    </row>
    <row r="4" spans="1:11" ht="19" x14ac:dyDescent="0.25">
      <c r="A4" s="42" t="s">
        <v>44</v>
      </c>
      <c r="B4" s="44">
        <v>1.4489000000000001</v>
      </c>
      <c r="C4" s="44">
        <v>5.8132000000000001</v>
      </c>
      <c r="D4" s="45">
        <v>-0.55210000000000004</v>
      </c>
      <c r="E4" s="44">
        <v>1.2512000000000001</v>
      </c>
      <c r="F4" s="42" t="s">
        <v>18</v>
      </c>
      <c r="G4" s="5"/>
      <c r="H4" s="5"/>
      <c r="I4" s="5"/>
      <c r="J4" s="5"/>
      <c r="K4" s="5"/>
    </row>
    <row r="5" spans="1:11" ht="19" x14ac:dyDescent="0.25">
      <c r="A5" s="42"/>
      <c r="B5" s="44"/>
      <c r="C5" s="44"/>
      <c r="D5" s="45"/>
      <c r="E5" s="44"/>
      <c r="F5" s="42"/>
      <c r="G5" s="5"/>
      <c r="H5" s="5"/>
      <c r="I5" s="5"/>
      <c r="J5" s="5"/>
      <c r="K5" s="5"/>
    </row>
    <row r="6" spans="1:11" ht="19" x14ac:dyDescent="0.25">
      <c r="A6" s="17" t="s">
        <v>128</v>
      </c>
      <c r="B6" s="18">
        <v>1864</v>
      </c>
      <c r="C6" s="18">
        <v>1508</v>
      </c>
      <c r="D6" s="18">
        <v>1544</v>
      </c>
      <c r="E6" s="18">
        <v>1174</v>
      </c>
      <c r="F6" s="18">
        <v>1098</v>
      </c>
      <c r="G6" s="5"/>
      <c r="H6" s="5"/>
      <c r="I6" s="5"/>
      <c r="J6" s="5"/>
      <c r="K6" s="5"/>
    </row>
    <row r="7" spans="1:11" ht="19" x14ac:dyDescent="0.25">
      <c r="A7" s="17" t="s">
        <v>129</v>
      </c>
      <c r="B7" s="18">
        <v>1271</v>
      </c>
      <c r="C7" s="17">
        <v>894</v>
      </c>
      <c r="D7" s="17">
        <v>845</v>
      </c>
      <c r="E7" s="17">
        <v>611</v>
      </c>
      <c r="F7" s="17">
        <v>486</v>
      </c>
      <c r="G7" s="5"/>
      <c r="H7" s="5"/>
      <c r="I7" s="5"/>
      <c r="J7" s="5"/>
      <c r="K7" s="5"/>
    </row>
    <row r="8" spans="1:11" ht="19" x14ac:dyDescent="0.25">
      <c r="A8" s="17" t="s">
        <v>130</v>
      </c>
      <c r="B8" s="17">
        <v>593</v>
      </c>
      <c r="C8" s="17">
        <v>614</v>
      </c>
      <c r="D8" s="17">
        <v>699</v>
      </c>
      <c r="E8" s="17">
        <v>563</v>
      </c>
      <c r="F8" s="17">
        <v>612</v>
      </c>
      <c r="G8" s="5"/>
      <c r="H8" s="5"/>
      <c r="I8" s="5"/>
      <c r="J8" s="5"/>
      <c r="K8" s="5"/>
    </row>
    <row r="9" spans="1:11" ht="19" x14ac:dyDescent="0.25">
      <c r="A9" s="42" t="s">
        <v>131</v>
      </c>
      <c r="B9" s="46">
        <v>-4477</v>
      </c>
      <c r="C9" s="46">
        <v>-2489</v>
      </c>
      <c r="D9" s="46">
        <v>-2164</v>
      </c>
      <c r="E9" s="42">
        <v>-406</v>
      </c>
      <c r="F9" s="42">
        <v>-282</v>
      </c>
      <c r="G9" s="5"/>
      <c r="H9" s="5"/>
      <c r="I9" s="5"/>
      <c r="J9" s="5"/>
      <c r="K9" s="5"/>
    </row>
    <row r="10" spans="1:11" ht="19" x14ac:dyDescent="0.25">
      <c r="A10" s="42"/>
      <c r="B10" s="46"/>
      <c r="C10" s="46"/>
      <c r="D10" s="46"/>
      <c r="E10" s="42"/>
      <c r="F10" s="42"/>
      <c r="G10" s="5"/>
      <c r="H10" s="5"/>
      <c r="I10" s="5"/>
      <c r="J10" s="5"/>
      <c r="K10" s="5"/>
    </row>
    <row r="11" spans="1:11" ht="19" x14ac:dyDescent="0.25">
      <c r="A11" s="42" t="s">
        <v>110</v>
      </c>
      <c r="B11" s="46">
        <v>-4477</v>
      </c>
      <c r="C11" s="46">
        <v>-2489</v>
      </c>
      <c r="D11" s="46">
        <v>-2164</v>
      </c>
      <c r="E11" s="42">
        <v>-406</v>
      </c>
      <c r="F11" s="42">
        <v>-282</v>
      </c>
      <c r="G11" s="5"/>
      <c r="H11" s="5"/>
      <c r="I11" s="5"/>
      <c r="J11" s="5"/>
      <c r="K11" s="5"/>
    </row>
    <row r="12" spans="1:11" ht="19" x14ac:dyDescent="0.25">
      <c r="A12" s="42"/>
      <c r="B12" s="46"/>
      <c r="C12" s="46"/>
      <c r="D12" s="46"/>
      <c r="E12" s="42"/>
      <c r="F12" s="42"/>
      <c r="G12" s="5"/>
      <c r="H12" s="5"/>
      <c r="I12" s="5"/>
      <c r="J12" s="5"/>
      <c r="K12" s="5"/>
    </row>
    <row r="13" spans="1:11" ht="19" x14ac:dyDescent="0.25">
      <c r="A13" s="17" t="s">
        <v>132</v>
      </c>
      <c r="B13" s="18">
        <v>3205</v>
      </c>
      <c r="C13" s="18">
        <v>3033</v>
      </c>
      <c r="D13" s="18">
        <v>4100</v>
      </c>
      <c r="E13" s="18">
        <v>1951</v>
      </c>
      <c r="F13" s="18">
        <v>1377</v>
      </c>
      <c r="G13" s="5"/>
      <c r="H13" s="5"/>
      <c r="I13" s="5"/>
      <c r="J13" s="5"/>
      <c r="K13" s="5"/>
    </row>
    <row r="14" spans="1:11" ht="19" x14ac:dyDescent="0.25">
      <c r="A14" s="17" t="s">
        <v>133</v>
      </c>
      <c r="B14" s="18">
        <v>73472</v>
      </c>
      <c r="C14" s="18">
        <v>31812</v>
      </c>
      <c r="D14" s="18">
        <v>7848</v>
      </c>
      <c r="E14" s="18">
        <v>12471</v>
      </c>
      <c r="F14" s="18">
        <v>6525</v>
      </c>
      <c r="G14" s="5"/>
      <c r="H14" s="5"/>
      <c r="I14" s="5"/>
      <c r="J14" s="5"/>
      <c r="K14" s="5"/>
    </row>
    <row r="15" spans="1:11" ht="19" x14ac:dyDescent="0.25">
      <c r="A15" s="42" t="s">
        <v>134</v>
      </c>
      <c r="B15" s="46">
        <v>-9383</v>
      </c>
      <c r="C15" s="46">
        <v>-3722</v>
      </c>
      <c r="D15" s="46">
        <v>-2207</v>
      </c>
      <c r="E15" s="46">
        <v>-3363</v>
      </c>
      <c r="F15" s="42">
        <v>-703</v>
      </c>
      <c r="G15" s="5"/>
      <c r="H15" s="5"/>
      <c r="I15" s="5"/>
      <c r="J15" s="5"/>
      <c r="K15" s="5"/>
    </row>
    <row r="16" spans="1:11" ht="19" x14ac:dyDescent="0.25">
      <c r="A16" s="42"/>
      <c r="B16" s="46"/>
      <c r="C16" s="46"/>
      <c r="D16" s="46"/>
      <c r="E16" s="46"/>
      <c r="F16" s="42"/>
      <c r="G16" s="5"/>
      <c r="H16" s="5"/>
      <c r="I16" s="5"/>
      <c r="J16" s="5"/>
      <c r="K16" s="5"/>
    </row>
    <row r="17" spans="1:11" ht="19" x14ac:dyDescent="0.25">
      <c r="A17" s="42" t="s">
        <v>135</v>
      </c>
      <c r="B17" s="46">
        <v>-13063</v>
      </c>
      <c r="C17" s="46">
        <v>-6172</v>
      </c>
      <c r="D17" s="42">
        <v>822</v>
      </c>
      <c r="E17" s="46">
        <v>-2215</v>
      </c>
      <c r="F17" s="42">
        <v>-550</v>
      </c>
      <c r="G17" s="5"/>
      <c r="H17" s="5"/>
      <c r="I17" s="5"/>
      <c r="J17" s="5"/>
      <c r="K17" s="5"/>
    </row>
    <row r="18" spans="1:11" ht="19" x14ac:dyDescent="0.25">
      <c r="A18" s="42"/>
      <c r="B18" s="46"/>
      <c r="C18" s="46"/>
      <c r="D18" s="42"/>
      <c r="E18" s="46"/>
      <c r="F18" s="42"/>
      <c r="G18" s="5"/>
      <c r="H18" s="5"/>
      <c r="I18" s="5"/>
      <c r="J18" s="5"/>
      <c r="K18" s="5"/>
    </row>
    <row r="19" spans="1:11" ht="19" x14ac:dyDescent="0.25">
      <c r="A19" s="42" t="s">
        <v>67</v>
      </c>
      <c r="B19" s="46">
        <v>-4781</v>
      </c>
      <c r="C19" s="42">
        <v>-98</v>
      </c>
      <c r="D19" s="46">
        <v>-2554</v>
      </c>
      <c r="E19" s="42">
        <v>-774</v>
      </c>
      <c r="F19" s="42">
        <v>-524</v>
      </c>
      <c r="G19" s="5"/>
      <c r="H19" s="5"/>
      <c r="I19" s="5"/>
      <c r="J19" s="5"/>
      <c r="K19" s="5"/>
    </row>
    <row r="20" spans="1:11" ht="19" x14ac:dyDescent="0.25">
      <c r="A20" s="42"/>
      <c r="B20" s="46"/>
      <c r="C20" s="42"/>
      <c r="D20" s="46"/>
      <c r="E20" s="42"/>
      <c r="F20" s="42"/>
      <c r="G20" s="5"/>
      <c r="H20" s="5"/>
      <c r="I20" s="5"/>
      <c r="J20" s="5"/>
      <c r="K20" s="5"/>
    </row>
    <row r="21" spans="1:11" ht="19" x14ac:dyDescent="0.25">
      <c r="A21" s="42" t="s">
        <v>6</v>
      </c>
      <c r="B21" s="46">
        <v>3357</v>
      </c>
      <c r="C21" s="46">
        <v>1531</v>
      </c>
      <c r="D21" s="42">
        <v>-551</v>
      </c>
      <c r="E21" s="42">
        <v>568</v>
      </c>
      <c r="F21" s="42">
        <v>363</v>
      </c>
      <c r="G21" s="5"/>
      <c r="H21" s="5"/>
      <c r="I21" s="5"/>
      <c r="J21" s="5"/>
      <c r="K21" s="5"/>
    </row>
    <row r="22" spans="1:11" ht="19" x14ac:dyDescent="0.25">
      <c r="A22" s="42"/>
      <c r="B22" s="46"/>
      <c r="C22" s="46"/>
      <c r="D22" s="42"/>
      <c r="E22" s="42"/>
      <c r="F22" s="42"/>
      <c r="G22" s="5"/>
      <c r="H22" s="5"/>
      <c r="I22" s="5"/>
      <c r="J22" s="5"/>
      <c r="K22" s="5"/>
    </row>
    <row r="23" spans="1:11" ht="19" x14ac:dyDescent="0.25">
      <c r="A23" s="17" t="s">
        <v>136</v>
      </c>
      <c r="B23" s="18">
        <v>4278</v>
      </c>
      <c r="C23" s="18">
        <v>2025</v>
      </c>
      <c r="D23" s="18">
        <v>1341</v>
      </c>
      <c r="E23" s="17">
        <v>581</v>
      </c>
      <c r="F23" s="17">
        <v>239</v>
      </c>
      <c r="G23" s="5"/>
      <c r="H23" s="5"/>
      <c r="I23" s="5"/>
      <c r="J23" s="5"/>
      <c r="K23" s="5"/>
    </row>
    <row r="24" spans="1:11" ht="19" x14ac:dyDescent="0.25">
      <c r="A24" s="42" t="s">
        <v>137</v>
      </c>
      <c r="B24" s="42">
        <v>826</v>
      </c>
      <c r="C24" s="46">
        <v>-1008</v>
      </c>
      <c r="D24" s="46">
        <v>-1265</v>
      </c>
      <c r="E24" s="46">
        <v>-1523</v>
      </c>
      <c r="F24" s="42">
        <v>-231</v>
      </c>
      <c r="G24" s="5"/>
      <c r="H24" s="5"/>
      <c r="I24" s="5"/>
      <c r="J24" s="5"/>
      <c r="K24" s="5"/>
    </row>
    <row r="25" spans="1:11" ht="19" x14ac:dyDescent="0.25">
      <c r="A25" s="42"/>
      <c r="B25" s="42"/>
      <c r="C25" s="46"/>
      <c r="D25" s="46"/>
      <c r="E25" s="46"/>
      <c r="F25" s="42"/>
      <c r="G25" s="5"/>
      <c r="H25" s="5"/>
      <c r="I25" s="5"/>
      <c r="J25" s="5"/>
      <c r="K25" s="5"/>
    </row>
    <row r="26" spans="1:11" ht="19" x14ac:dyDescent="0.25">
      <c r="A26" s="17" t="s">
        <v>138</v>
      </c>
      <c r="B26" s="18">
        <v>64089</v>
      </c>
      <c r="C26" s="18">
        <v>28090</v>
      </c>
      <c r="D26" s="18">
        <v>5641</v>
      </c>
      <c r="E26" s="18">
        <v>9108</v>
      </c>
      <c r="F26" s="18">
        <v>5822</v>
      </c>
      <c r="G26" s="5"/>
      <c r="H26" s="5"/>
      <c r="I26" s="5"/>
      <c r="J26" s="5"/>
      <c r="K26" s="5"/>
    </row>
    <row r="27" spans="1:11" ht="19" x14ac:dyDescent="0.25">
      <c r="A27" s="42" t="s">
        <v>139</v>
      </c>
      <c r="B27" s="44">
        <v>1.2816000000000001</v>
      </c>
      <c r="C27" s="44">
        <v>3.9796</v>
      </c>
      <c r="D27" s="45">
        <v>-0.38069999999999998</v>
      </c>
      <c r="E27" s="44">
        <v>0.56440000000000001</v>
      </c>
      <c r="F27" s="42" t="s">
        <v>18</v>
      </c>
      <c r="G27" s="5"/>
      <c r="H27" s="5"/>
      <c r="I27" s="5"/>
      <c r="J27" s="5"/>
      <c r="K27" s="5"/>
    </row>
    <row r="28" spans="1:11" ht="19" x14ac:dyDescent="0.25">
      <c r="A28" s="42"/>
      <c r="B28" s="44"/>
      <c r="C28" s="44"/>
      <c r="D28" s="45"/>
      <c r="E28" s="44"/>
      <c r="F28" s="42"/>
      <c r="G28" s="5"/>
      <c r="H28" s="5"/>
      <c r="I28" s="5"/>
      <c r="J28" s="5"/>
      <c r="K28" s="5"/>
    </row>
    <row r="29" spans="1:11" x14ac:dyDescent="0.2">
      <c r="A29" s="17" t="s">
        <v>140</v>
      </c>
      <c r="B29" s="19">
        <v>0.49109999999999998</v>
      </c>
      <c r="C29" s="19">
        <v>0.46110000000000001</v>
      </c>
      <c r="D29" s="19">
        <v>0.20910000000000001</v>
      </c>
      <c r="E29" s="19">
        <v>0.33839999999999998</v>
      </c>
      <c r="F29" s="19">
        <v>0.34910000000000002</v>
      </c>
    </row>
    <row r="30" spans="1:11" ht="18" x14ac:dyDescent="0.2">
      <c r="A30" s="15" t="s">
        <v>142</v>
      </c>
    </row>
    <row r="31" spans="1:11" x14ac:dyDescent="0.2">
      <c r="A31" s="16" t="s">
        <v>94</v>
      </c>
      <c r="B31" s="16">
        <v>2025</v>
      </c>
      <c r="C31" s="16">
        <v>2024</v>
      </c>
      <c r="D31" s="16">
        <v>2023</v>
      </c>
      <c r="E31" s="16">
        <v>2022</v>
      </c>
      <c r="F31" s="16">
        <v>2021</v>
      </c>
      <c r="G31" s="43" t="s">
        <v>15</v>
      </c>
      <c r="H31" s="43"/>
      <c r="I31" s="43"/>
      <c r="J31" s="43"/>
      <c r="K31" s="43"/>
    </row>
    <row r="32" spans="1:11" ht="19" x14ac:dyDescent="0.25">
      <c r="A32" s="42" t="s">
        <v>143</v>
      </c>
      <c r="B32" s="46">
        <v>-3236</v>
      </c>
      <c r="C32" s="46">
        <v>-1069</v>
      </c>
      <c r="D32" s="46">
        <v>-1833</v>
      </c>
      <c r="E32" s="42">
        <v>-976</v>
      </c>
      <c r="F32" s="46">
        <v>-1128</v>
      </c>
      <c r="G32" s="5"/>
      <c r="H32" s="5"/>
      <c r="I32" s="5"/>
      <c r="J32" s="5"/>
      <c r="K32" s="5"/>
    </row>
    <row r="33" spans="1:11" ht="19" x14ac:dyDescent="0.25">
      <c r="A33" s="42"/>
      <c r="B33" s="46"/>
      <c r="C33" s="46"/>
      <c r="D33" s="46"/>
      <c r="E33" s="42"/>
      <c r="F33" s="46"/>
      <c r="G33" s="5"/>
      <c r="H33" s="5"/>
      <c r="I33" s="5"/>
      <c r="J33" s="5"/>
      <c r="K33" s="5"/>
    </row>
    <row r="34" spans="1:11" ht="19" x14ac:dyDescent="0.25">
      <c r="A34" s="42" t="s">
        <v>144</v>
      </c>
      <c r="B34" s="46">
        <v>-3236</v>
      </c>
      <c r="C34" s="46">
        <v>-1069</v>
      </c>
      <c r="D34" s="46">
        <v>-1833</v>
      </c>
      <c r="E34" s="42">
        <v>-976</v>
      </c>
      <c r="F34" s="46">
        <v>-1128</v>
      </c>
      <c r="G34" s="5"/>
      <c r="H34" s="5"/>
      <c r="I34" s="5"/>
      <c r="J34" s="5"/>
      <c r="K34" s="5"/>
    </row>
    <row r="35" spans="1:11" ht="19" x14ac:dyDescent="0.25">
      <c r="A35" s="42"/>
      <c r="B35" s="46"/>
      <c r="C35" s="46"/>
      <c r="D35" s="46"/>
      <c r="E35" s="42"/>
      <c r="F35" s="46"/>
      <c r="G35" s="5"/>
      <c r="H35" s="5"/>
      <c r="I35" s="5"/>
      <c r="J35" s="5"/>
      <c r="K35" s="5"/>
    </row>
    <row r="36" spans="1:11" ht="19" x14ac:dyDescent="0.25">
      <c r="A36" s="42" t="s">
        <v>145</v>
      </c>
      <c r="B36" s="45">
        <v>-2.0270999999999999</v>
      </c>
      <c r="C36" s="44">
        <v>0.4168</v>
      </c>
      <c r="D36" s="45">
        <v>-0.87809999999999999</v>
      </c>
      <c r="E36" s="44">
        <v>0.1348</v>
      </c>
      <c r="F36" s="42" t="s">
        <v>18</v>
      </c>
      <c r="G36" s="5"/>
      <c r="H36" s="5"/>
      <c r="I36" s="5"/>
      <c r="J36" s="5"/>
      <c r="K36" s="5"/>
    </row>
    <row r="37" spans="1:11" ht="19" x14ac:dyDescent="0.25">
      <c r="A37" s="42"/>
      <c r="B37" s="45"/>
      <c r="C37" s="44"/>
      <c r="D37" s="45"/>
      <c r="E37" s="44"/>
      <c r="F37" s="42"/>
      <c r="G37" s="5"/>
      <c r="H37" s="5"/>
      <c r="I37" s="5"/>
      <c r="J37" s="5"/>
      <c r="K37" s="5"/>
    </row>
    <row r="38" spans="1:11" ht="19" x14ac:dyDescent="0.25">
      <c r="A38" s="42" t="s">
        <v>146</v>
      </c>
      <c r="B38" s="45">
        <v>-2.4799999999999999E-2</v>
      </c>
      <c r="C38" s="45">
        <v>-1.7500000000000002E-2</v>
      </c>
      <c r="D38" s="45">
        <v>-6.8000000000000005E-2</v>
      </c>
      <c r="E38" s="45">
        <v>-3.6299999999999999E-2</v>
      </c>
      <c r="F38" s="45">
        <v>-6.7599999999999993E-2</v>
      </c>
      <c r="G38" s="5"/>
      <c r="H38" s="5"/>
      <c r="I38" s="5"/>
      <c r="J38" s="5"/>
      <c r="K38" s="5"/>
    </row>
    <row r="39" spans="1:11" ht="19" x14ac:dyDescent="0.25">
      <c r="A39" s="42"/>
      <c r="B39" s="45"/>
      <c r="C39" s="45"/>
      <c r="D39" s="45"/>
      <c r="E39" s="45"/>
      <c r="F39" s="45"/>
      <c r="G39" s="5"/>
      <c r="H39" s="5"/>
      <c r="I39" s="5"/>
      <c r="J39" s="5"/>
      <c r="K39" s="5"/>
    </row>
    <row r="40" spans="1:11" ht="19" x14ac:dyDescent="0.25">
      <c r="A40" s="42" t="s">
        <v>147</v>
      </c>
      <c r="B40" s="46">
        <v>-1007</v>
      </c>
      <c r="C40" s="42">
        <v>-83</v>
      </c>
      <c r="D40" s="42">
        <v>-49</v>
      </c>
      <c r="E40" s="42">
        <v>-263</v>
      </c>
      <c r="F40" s="46">
        <v>-8524</v>
      </c>
      <c r="G40" s="5"/>
      <c r="H40" s="5"/>
      <c r="I40" s="5"/>
      <c r="J40" s="5"/>
      <c r="K40" s="5"/>
    </row>
    <row r="41" spans="1:11" ht="19" x14ac:dyDescent="0.25">
      <c r="A41" s="42"/>
      <c r="B41" s="46"/>
      <c r="C41" s="42"/>
      <c r="D41" s="42"/>
      <c r="E41" s="42"/>
      <c r="F41" s="46"/>
      <c r="G41" s="5"/>
      <c r="H41" s="5"/>
      <c r="I41" s="5"/>
      <c r="J41" s="5"/>
      <c r="K41" s="5"/>
    </row>
    <row r="42" spans="1:11" ht="19" x14ac:dyDescent="0.25">
      <c r="A42" s="42" t="s">
        <v>148</v>
      </c>
      <c r="B42" s="46">
        <v>-16200</v>
      </c>
      <c r="C42" s="46">
        <v>-8429</v>
      </c>
      <c r="D42" s="46">
        <v>9334</v>
      </c>
      <c r="E42" s="46">
        <v>-8567</v>
      </c>
      <c r="F42" s="46">
        <v>-9989</v>
      </c>
      <c r="G42" s="5"/>
      <c r="H42" s="5"/>
      <c r="I42" s="5"/>
      <c r="J42" s="5"/>
      <c r="K42" s="5"/>
    </row>
    <row r="43" spans="1:11" ht="19" x14ac:dyDescent="0.25">
      <c r="A43" s="42"/>
      <c r="B43" s="46"/>
      <c r="C43" s="46"/>
      <c r="D43" s="46"/>
      <c r="E43" s="46"/>
      <c r="F43" s="46"/>
      <c r="G43" s="5"/>
      <c r="H43" s="5"/>
      <c r="I43" s="5"/>
      <c r="J43" s="5"/>
      <c r="K43" s="5"/>
    </row>
    <row r="44" spans="1:11" ht="19" x14ac:dyDescent="0.25">
      <c r="A44" s="42" t="s">
        <v>149</v>
      </c>
      <c r="B44" s="46">
        <v>-28061</v>
      </c>
      <c r="C44" s="46">
        <v>-18211</v>
      </c>
      <c r="D44" s="46">
        <v>-11897</v>
      </c>
      <c r="E44" s="46">
        <v>-24787</v>
      </c>
      <c r="F44" s="46">
        <v>-19308</v>
      </c>
      <c r="G44" s="5"/>
      <c r="H44" s="5"/>
      <c r="I44" s="5"/>
      <c r="J44" s="5"/>
      <c r="K44" s="5"/>
    </row>
    <row r="45" spans="1:11" ht="19" x14ac:dyDescent="0.25">
      <c r="A45" s="42"/>
      <c r="B45" s="46"/>
      <c r="C45" s="46"/>
      <c r="D45" s="46"/>
      <c r="E45" s="46"/>
      <c r="F45" s="46"/>
      <c r="G45" s="5"/>
      <c r="H45" s="5"/>
      <c r="I45" s="5"/>
      <c r="J45" s="5"/>
      <c r="K45" s="5"/>
    </row>
    <row r="46" spans="1:11" ht="19" x14ac:dyDescent="0.25">
      <c r="A46" s="17" t="s">
        <v>150</v>
      </c>
      <c r="B46" s="18">
        <v>11861</v>
      </c>
      <c r="C46" s="18">
        <v>9782</v>
      </c>
      <c r="D46" s="18">
        <v>21231</v>
      </c>
      <c r="E46" s="18">
        <v>16220</v>
      </c>
      <c r="F46" s="18">
        <v>9319</v>
      </c>
      <c r="G46" s="5"/>
      <c r="H46" s="5"/>
      <c r="I46" s="5"/>
      <c r="J46" s="5"/>
      <c r="K46" s="5"/>
    </row>
    <row r="47" spans="1:11" ht="19" x14ac:dyDescent="0.25">
      <c r="A47" s="42" t="s">
        <v>151</v>
      </c>
      <c r="B47" s="42" t="s">
        <v>18</v>
      </c>
      <c r="C47" s="42">
        <v>-985</v>
      </c>
      <c r="D47" s="42">
        <v>-77</v>
      </c>
      <c r="E47" s="42">
        <v>-24</v>
      </c>
      <c r="F47" s="42">
        <v>-34</v>
      </c>
      <c r="G47" s="5"/>
      <c r="H47" s="5"/>
      <c r="I47" s="5"/>
      <c r="J47" s="5"/>
      <c r="K47" s="5"/>
    </row>
    <row r="48" spans="1:11" ht="19" x14ac:dyDescent="0.25">
      <c r="A48" s="42"/>
      <c r="B48" s="42"/>
      <c r="C48" s="42"/>
      <c r="D48" s="42"/>
      <c r="E48" s="42"/>
      <c r="F48" s="42"/>
      <c r="G48" s="5"/>
      <c r="H48" s="5"/>
      <c r="I48" s="5"/>
      <c r="J48" s="5"/>
      <c r="K48" s="5"/>
    </row>
    <row r="49" spans="1:11" ht="19" x14ac:dyDescent="0.25">
      <c r="A49" s="17" t="s">
        <v>152</v>
      </c>
      <c r="B49" s="17">
        <v>22</v>
      </c>
      <c r="C49" s="17" t="s">
        <v>18</v>
      </c>
      <c r="D49" s="17" t="s">
        <v>18</v>
      </c>
      <c r="E49" s="17" t="s">
        <v>18</v>
      </c>
      <c r="F49" s="17" t="s">
        <v>18</v>
      </c>
      <c r="G49" s="5"/>
      <c r="H49" s="5"/>
      <c r="I49" s="5"/>
      <c r="J49" s="5"/>
      <c r="K49" s="5"/>
    </row>
    <row r="50" spans="1:11" ht="19" x14ac:dyDescent="0.25">
      <c r="A50" s="42" t="s">
        <v>153</v>
      </c>
      <c r="B50" s="46">
        <v>-20421</v>
      </c>
      <c r="C50" s="46">
        <v>-10566</v>
      </c>
      <c r="D50" s="46">
        <v>7375</v>
      </c>
      <c r="E50" s="46">
        <v>-9830</v>
      </c>
      <c r="F50" s="46">
        <v>-19675</v>
      </c>
      <c r="G50" s="5"/>
      <c r="H50" s="5"/>
      <c r="I50" s="5"/>
      <c r="J50" s="5"/>
      <c r="K50" s="5"/>
    </row>
    <row r="51" spans="1:11" ht="19" x14ac:dyDescent="0.25">
      <c r="A51" s="42"/>
      <c r="B51" s="46"/>
      <c r="C51" s="46"/>
      <c r="D51" s="46"/>
      <c r="E51" s="46"/>
      <c r="F51" s="46"/>
      <c r="G51" s="5"/>
      <c r="H51" s="5"/>
      <c r="I51" s="5"/>
      <c r="J51" s="5"/>
      <c r="K51" s="5"/>
    </row>
    <row r="52" spans="1:11" ht="19" x14ac:dyDescent="0.25">
      <c r="A52" s="42" t="s">
        <v>154</v>
      </c>
      <c r="B52" s="45">
        <v>-0.93269999999999997</v>
      </c>
      <c r="C52" s="45">
        <v>-2.4327000000000001</v>
      </c>
      <c r="D52" s="44">
        <v>1.7503</v>
      </c>
      <c r="E52" s="44">
        <v>0.50039999999999996</v>
      </c>
      <c r="F52" s="42" t="s">
        <v>18</v>
      </c>
      <c r="G52" s="5"/>
      <c r="H52" s="5"/>
      <c r="I52" s="5"/>
      <c r="J52" s="5"/>
      <c r="K52" s="5"/>
    </row>
    <row r="53" spans="1:11" ht="19" x14ac:dyDescent="0.25">
      <c r="A53" s="42"/>
      <c r="B53" s="45"/>
      <c r="C53" s="45"/>
      <c r="D53" s="44"/>
      <c r="E53" s="44"/>
      <c r="F53" s="42"/>
      <c r="G53" s="5"/>
      <c r="H53" s="5"/>
      <c r="I53" s="5"/>
      <c r="J53" s="5"/>
      <c r="K53" s="5"/>
    </row>
    <row r="54" spans="1:11" x14ac:dyDescent="0.2">
      <c r="A54" s="17" t="s">
        <v>155</v>
      </c>
      <c r="B54" s="20">
        <v>-0.1565</v>
      </c>
      <c r="C54" s="20">
        <v>-0.1734</v>
      </c>
      <c r="D54" s="19">
        <v>0.27339999999999998</v>
      </c>
      <c r="E54" s="20">
        <v>-0.36520000000000002</v>
      </c>
      <c r="F54" s="20">
        <v>-1.1798999999999999</v>
      </c>
    </row>
    <row r="55" spans="1:11" ht="18" x14ac:dyDescent="0.2">
      <c r="A55" s="15" t="s">
        <v>173</v>
      </c>
    </row>
    <row r="56" spans="1:11" x14ac:dyDescent="0.2">
      <c r="A56" s="16" t="s">
        <v>94</v>
      </c>
      <c r="B56" s="16">
        <v>2025</v>
      </c>
      <c r="C56" s="16">
        <v>2024</v>
      </c>
      <c r="D56" s="16">
        <v>2023</v>
      </c>
      <c r="E56" s="16">
        <v>2022</v>
      </c>
      <c r="F56" s="16">
        <v>2021</v>
      </c>
      <c r="G56" s="43" t="s">
        <v>15</v>
      </c>
      <c r="H56" s="43"/>
      <c r="I56" s="43"/>
      <c r="J56" s="43"/>
      <c r="K56" s="43"/>
    </row>
    <row r="57" spans="1:11" ht="19" x14ac:dyDescent="0.25">
      <c r="A57" s="42" t="s">
        <v>156</v>
      </c>
      <c r="B57" s="42">
        <v>-834</v>
      </c>
      <c r="C57" s="42">
        <v>-395</v>
      </c>
      <c r="D57" s="42">
        <v>-398</v>
      </c>
      <c r="E57" s="42">
        <v>-399</v>
      </c>
      <c r="F57" s="42">
        <v>-395</v>
      </c>
      <c r="G57" s="5"/>
      <c r="H57" s="5"/>
      <c r="I57" s="5"/>
      <c r="J57" s="5"/>
      <c r="K57" s="5"/>
    </row>
    <row r="58" spans="1:11" ht="19" x14ac:dyDescent="0.25">
      <c r="A58" s="42"/>
      <c r="B58" s="42"/>
      <c r="C58" s="42"/>
      <c r="D58" s="42"/>
      <c r="E58" s="42"/>
      <c r="F58" s="42"/>
      <c r="G58" s="5"/>
      <c r="H58" s="5"/>
      <c r="I58" s="5"/>
      <c r="J58" s="5"/>
      <c r="K58" s="5"/>
    </row>
    <row r="59" spans="1:11" ht="19" x14ac:dyDescent="0.25">
      <c r="A59" s="42" t="s">
        <v>157</v>
      </c>
      <c r="B59" s="42">
        <v>-834</v>
      </c>
      <c r="C59" s="42">
        <v>-395</v>
      </c>
      <c r="D59" s="42">
        <v>-398</v>
      </c>
      <c r="E59" s="42">
        <v>-399</v>
      </c>
      <c r="F59" s="42">
        <v>-395</v>
      </c>
      <c r="G59" s="5"/>
      <c r="H59" s="5"/>
      <c r="I59" s="5"/>
      <c r="J59" s="5"/>
      <c r="K59" s="5"/>
    </row>
    <row r="60" spans="1:11" ht="19" x14ac:dyDescent="0.25">
      <c r="A60" s="42"/>
      <c r="B60" s="42"/>
      <c r="C60" s="42"/>
      <c r="D60" s="42"/>
      <c r="E60" s="42"/>
      <c r="F60" s="42"/>
      <c r="G60" s="5"/>
      <c r="H60" s="5"/>
      <c r="I60" s="5"/>
      <c r="J60" s="5"/>
      <c r="K60" s="5"/>
    </row>
    <row r="61" spans="1:11" ht="19" x14ac:dyDescent="0.25">
      <c r="A61" s="42" t="s">
        <v>158</v>
      </c>
      <c r="B61" s="46">
        <v>-33216</v>
      </c>
      <c r="C61" s="46">
        <v>-9130</v>
      </c>
      <c r="D61" s="46">
        <v>-9684</v>
      </c>
      <c r="E61" s="42">
        <v>281</v>
      </c>
      <c r="F61" s="42">
        <v>194</v>
      </c>
      <c r="G61" s="5"/>
      <c r="H61" s="5"/>
      <c r="I61" s="5"/>
      <c r="J61" s="5"/>
      <c r="K61" s="5"/>
    </row>
    <row r="62" spans="1:11" ht="19" x14ac:dyDescent="0.25">
      <c r="A62" s="42"/>
      <c r="B62" s="46"/>
      <c r="C62" s="46"/>
      <c r="D62" s="46"/>
      <c r="E62" s="42"/>
      <c r="F62" s="42"/>
      <c r="G62" s="5"/>
      <c r="H62" s="5"/>
      <c r="I62" s="5"/>
      <c r="J62" s="5"/>
      <c r="K62" s="5"/>
    </row>
    <row r="63" spans="1:11" ht="19" x14ac:dyDescent="0.25">
      <c r="A63" s="42" t="s">
        <v>159</v>
      </c>
      <c r="B63" s="46">
        <v>-33706</v>
      </c>
      <c r="C63" s="46">
        <v>-9533</v>
      </c>
      <c r="D63" s="46">
        <v>-10039</v>
      </c>
      <c r="E63" s="42" t="s">
        <v>18</v>
      </c>
      <c r="F63" s="42" t="s">
        <v>18</v>
      </c>
      <c r="G63" s="5"/>
      <c r="H63" s="5"/>
      <c r="I63" s="5"/>
      <c r="J63" s="5"/>
      <c r="K63" s="5"/>
    </row>
    <row r="64" spans="1:11" ht="19" x14ac:dyDescent="0.25">
      <c r="A64" s="42"/>
      <c r="B64" s="46"/>
      <c r="C64" s="46"/>
      <c r="D64" s="46"/>
      <c r="E64" s="42"/>
      <c r="F64" s="42"/>
      <c r="G64" s="5"/>
      <c r="H64" s="5"/>
      <c r="I64" s="5"/>
      <c r="J64" s="5"/>
      <c r="K64" s="5"/>
    </row>
    <row r="65" spans="1:11" ht="19" x14ac:dyDescent="0.25">
      <c r="A65" s="17" t="s">
        <v>160</v>
      </c>
      <c r="B65" s="17">
        <v>490</v>
      </c>
      <c r="C65" s="17">
        <v>403</v>
      </c>
      <c r="D65" s="17">
        <v>355</v>
      </c>
      <c r="E65" s="17">
        <v>281</v>
      </c>
      <c r="F65" s="17">
        <v>194</v>
      </c>
      <c r="G65" s="5"/>
      <c r="H65" s="5"/>
      <c r="I65" s="5"/>
      <c r="J65" s="5"/>
      <c r="K65" s="5"/>
    </row>
    <row r="66" spans="1:11" ht="19" x14ac:dyDescent="0.25">
      <c r="A66" s="17" t="s">
        <v>161</v>
      </c>
      <c r="B66" s="17">
        <v>490</v>
      </c>
      <c r="C66" s="17">
        <v>403</v>
      </c>
      <c r="D66" s="17">
        <v>355</v>
      </c>
      <c r="E66" s="17">
        <v>281</v>
      </c>
      <c r="F66" s="17">
        <v>194</v>
      </c>
      <c r="G66" s="5"/>
      <c r="H66" s="5"/>
      <c r="I66" s="5"/>
      <c r="J66" s="5"/>
      <c r="K66" s="5"/>
    </row>
    <row r="67" spans="1:11" ht="19" x14ac:dyDescent="0.25">
      <c r="A67" s="42" t="s">
        <v>162</v>
      </c>
      <c r="B67" s="46">
        <v>-1250</v>
      </c>
      <c r="C67" s="46">
        <v>-1250</v>
      </c>
      <c r="D67" s="42" t="s">
        <v>18</v>
      </c>
      <c r="E67" s="46">
        <v>3977</v>
      </c>
      <c r="F67" s="46">
        <v>4968</v>
      </c>
      <c r="G67" s="5"/>
      <c r="H67" s="5"/>
      <c r="I67" s="5"/>
      <c r="J67" s="5"/>
      <c r="K67" s="5"/>
    </row>
    <row r="68" spans="1:11" ht="19" x14ac:dyDescent="0.25">
      <c r="A68" s="42"/>
      <c r="B68" s="46"/>
      <c r="C68" s="46"/>
      <c r="D68" s="42"/>
      <c r="E68" s="46"/>
      <c r="F68" s="46"/>
      <c r="G68" s="5"/>
      <c r="H68" s="5"/>
      <c r="I68" s="5"/>
      <c r="J68" s="5"/>
      <c r="K68" s="5"/>
    </row>
    <row r="69" spans="1:11" ht="19" x14ac:dyDescent="0.25">
      <c r="A69" s="42" t="s">
        <v>163</v>
      </c>
      <c r="B69" s="46">
        <v>-1250</v>
      </c>
      <c r="C69" s="46">
        <v>-1250</v>
      </c>
      <c r="D69" s="42" t="s">
        <v>18</v>
      </c>
      <c r="E69" s="46">
        <v>3977</v>
      </c>
      <c r="F69" s="46">
        <v>4968</v>
      </c>
      <c r="G69" s="5"/>
      <c r="H69" s="5"/>
      <c r="I69" s="5"/>
      <c r="J69" s="5"/>
      <c r="K69" s="5"/>
    </row>
    <row r="70" spans="1:11" ht="19" x14ac:dyDescent="0.25">
      <c r="A70" s="42"/>
      <c r="B70" s="46"/>
      <c r="C70" s="46"/>
      <c r="D70" s="42"/>
      <c r="E70" s="46"/>
      <c r="F70" s="46"/>
      <c r="G70" s="5"/>
      <c r="H70" s="5"/>
      <c r="I70" s="5"/>
      <c r="J70" s="5"/>
      <c r="K70" s="5"/>
    </row>
    <row r="71" spans="1:11" ht="19" x14ac:dyDescent="0.25">
      <c r="A71" s="17" t="s">
        <v>164</v>
      </c>
      <c r="B71" s="17" t="s">
        <v>18</v>
      </c>
      <c r="C71" s="17" t="s">
        <v>18</v>
      </c>
      <c r="D71" s="17" t="s">
        <v>18</v>
      </c>
      <c r="E71" s="18">
        <v>4977</v>
      </c>
      <c r="F71" s="18">
        <v>4968</v>
      </c>
      <c r="G71" s="5"/>
      <c r="H71" s="5"/>
      <c r="I71" s="5"/>
      <c r="J71" s="5"/>
      <c r="K71" s="5"/>
    </row>
    <row r="72" spans="1:11" ht="19" x14ac:dyDescent="0.25">
      <c r="A72" s="42" t="s">
        <v>165</v>
      </c>
      <c r="B72" s="46">
        <v>-1250</v>
      </c>
      <c r="C72" s="46">
        <v>-1250</v>
      </c>
      <c r="D72" s="42" t="s">
        <v>18</v>
      </c>
      <c r="E72" s="46">
        <v>-1000</v>
      </c>
      <c r="F72" s="42" t="s">
        <v>18</v>
      </c>
      <c r="G72" s="5"/>
      <c r="H72" s="5"/>
      <c r="I72" s="5"/>
      <c r="J72" s="5"/>
      <c r="K72" s="5"/>
    </row>
    <row r="73" spans="1:11" ht="19" x14ac:dyDescent="0.25">
      <c r="A73" s="42"/>
      <c r="B73" s="46"/>
      <c r="C73" s="46"/>
      <c r="D73" s="42"/>
      <c r="E73" s="46"/>
      <c r="F73" s="42"/>
      <c r="G73" s="5"/>
      <c r="H73" s="5"/>
      <c r="I73" s="5"/>
      <c r="J73" s="5"/>
      <c r="K73" s="5"/>
    </row>
    <row r="74" spans="1:11" ht="19" x14ac:dyDescent="0.25">
      <c r="A74" s="42" t="s">
        <v>132</v>
      </c>
      <c r="B74" s="46">
        <v>-7059</v>
      </c>
      <c r="C74" s="46">
        <v>-2858</v>
      </c>
      <c r="D74" s="46">
        <v>-1535</v>
      </c>
      <c r="E74" s="46">
        <v>-1994</v>
      </c>
      <c r="F74" s="42">
        <v>-963</v>
      </c>
      <c r="G74" s="5"/>
      <c r="H74" s="5"/>
      <c r="I74" s="5"/>
      <c r="J74" s="5"/>
      <c r="K74" s="5"/>
    </row>
    <row r="75" spans="1:11" ht="19" x14ac:dyDescent="0.25">
      <c r="A75" s="42"/>
      <c r="B75" s="46"/>
      <c r="C75" s="46"/>
      <c r="D75" s="46"/>
      <c r="E75" s="46"/>
      <c r="F75" s="42"/>
      <c r="G75" s="5"/>
      <c r="H75" s="5"/>
      <c r="I75" s="5"/>
      <c r="J75" s="5"/>
      <c r="K75" s="5"/>
    </row>
    <row r="76" spans="1:11" ht="19" x14ac:dyDescent="0.25">
      <c r="A76" s="42" t="s">
        <v>151</v>
      </c>
      <c r="B76" s="46">
        <v>-7059</v>
      </c>
      <c r="C76" s="46">
        <v>-2858</v>
      </c>
      <c r="D76" s="46">
        <v>-1535</v>
      </c>
      <c r="E76" s="46">
        <v>-1994</v>
      </c>
      <c r="F76" s="42">
        <v>-963</v>
      </c>
      <c r="G76" s="5"/>
      <c r="H76" s="5"/>
      <c r="I76" s="5"/>
      <c r="J76" s="5"/>
      <c r="K76" s="5"/>
    </row>
    <row r="77" spans="1:11" ht="19" x14ac:dyDescent="0.25">
      <c r="A77" s="42"/>
      <c r="B77" s="46"/>
      <c r="C77" s="46"/>
      <c r="D77" s="46"/>
      <c r="E77" s="46"/>
      <c r="F77" s="42"/>
      <c r="G77" s="5"/>
      <c r="H77" s="5"/>
      <c r="I77" s="5"/>
      <c r="J77" s="5"/>
      <c r="K77" s="5"/>
    </row>
    <row r="78" spans="1:11" ht="19" x14ac:dyDescent="0.25">
      <c r="A78" s="42" t="s">
        <v>166</v>
      </c>
      <c r="B78" s="46">
        <v>-42359</v>
      </c>
      <c r="C78" s="46">
        <v>-13633</v>
      </c>
      <c r="D78" s="46">
        <v>-11617</v>
      </c>
      <c r="E78" s="46">
        <v>1865</v>
      </c>
      <c r="F78" s="46">
        <v>3804</v>
      </c>
      <c r="G78" s="5"/>
      <c r="H78" s="5"/>
      <c r="I78" s="5"/>
      <c r="J78" s="5"/>
      <c r="K78" s="5"/>
    </row>
    <row r="79" spans="1:11" ht="19" x14ac:dyDescent="0.25">
      <c r="A79" s="42"/>
      <c r="B79" s="46"/>
      <c r="C79" s="46"/>
      <c r="D79" s="46"/>
      <c r="E79" s="46"/>
      <c r="F79" s="46"/>
      <c r="G79" s="5"/>
      <c r="H79" s="5"/>
      <c r="I79" s="5"/>
      <c r="J79" s="5"/>
      <c r="K79" s="5"/>
    </row>
    <row r="80" spans="1:11" ht="19" x14ac:dyDescent="0.25">
      <c r="A80" s="42" t="s">
        <v>167</v>
      </c>
      <c r="B80" s="45">
        <v>-2.1071</v>
      </c>
      <c r="C80" s="45">
        <v>-0.17349999999999999</v>
      </c>
      <c r="D80" s="45">
        <v>-7.2290000000000001</v>
      </c>
      <c r="E80" s="45">
        <v>-0.50970000000000004</v>
      </c>
      <c r="F80" s="42" t="s">
        <v>18</v>
      </c>
      <c r="G80" s="5"/>
      <c r="H80" s="5"/>
      <c r="I80" s="5"/>
      <c r="J80" s="5"/>
      <c r="K80" s="5"/>
    </row>
    <row r="81" spans="1:11" ht="19" x14ac:dyDescent="0.25">
      <c r="A81" s="42"/>
      <c r="B81" s="45"/>
      <c r="C81" s="45"/>
      <c r="D81" s="45"/>
      <c r="E81" s="45"/>
      <c r="F81" s="42"/>
      <c r="G81" s="5"/>
      <c r="H81" s="5"/>
      <c r="I81" s="5"/>
      <c r="J81" s="5"/>
      <c r="K81" s="5"/>
    </row>
    <row r="82" spans="1:11" ht="19" x14ac:dyDescent="0.25">
      <c r="A82" s="42" t="s">
        <v>168</v>
      </c>
      <c r="B82" s="45">
        <v>-0.3246</v>
      </c>
      <c r="C82" s="45">
        <v>-0.2238</v>
      </c>
      <c r="D82" s="45">
        <v>-0.43070000000000003</v>
      </c>
      <c r="E82" s="44">
        <v>6.93E-2</v>
      </c>
      <c r="F82" s="44">
        <v>0.2281</v>
      </c>
      <c r="G82" s="5"/>
      <c r="H82" s="5"/>
      <c r="I82" s="5"/>
      <c r="J82" s="5"/>
      <c r="K82" s="5"/>
    </row>
    <row r="83" spans="1:11" ht="19" x14ac:dyDescent="0.25">
      <c r="A83" s="42"/>
      <c r="B83" s="45"/>
      <c r="C83" s="45"/>
      <c r="D83" s="45"/>
      <c r="E83" s="44"/>
      <c r="F83" s="44"/>
      <c r="G83" s="5"/>
      <c r="H83" s="5"/>
      <c r="I83" s="5"/>
      <c r="J83" s="5"/>
      <c r="K83" s="5"/>
    </row>
    <row r="84" spans="1:11" ht="19" x14ac:dyDescent="0.25">
      <c r="A84" s="42" t="s">
        <v>169</v>
      </c>
      <c r="B84" s="46">
        <v>1309</v>
      </c>
      <c r="C84" s="46">
        <v>3891</v>
      </c>
      <c r="D84" s="46">
        <v>1399</v>
      </c>
      <c r="E84" s="46">
        <v>1143</v>
      </c>
      <c r="F84" s="46">
        <v>-10049</v>
      </c>
      <c r="G84" s="5"/>
      <c r="H84" s="5"/>
      <c r="I84" s="5"/>
      <c r="J84" s="5"/>
      <c r="K84" s="5"/>
    </row>
    <row r="85" spans="1:11" ht="19" x14ac:dyDescent="0.25">
      <c r="A85" s="42"/>
      <c r="B85" s="46"/>
      <c r="C85" s="46"/>
      <c r="D85" s="46"/>
      <c r="E85" s="46"/>
      <c r="F85" s="46"/>
      <c r="G85" s="5"/>
      <c r="H85" s="5"/>
      <c r="I85" s="5"/>
      <c r="J85" s="5"/>
      <c r="K85" s="5"/>
    </row>
    <row r="86" spans="1:11" ht="19" x14ac:dyDescent="0.25">
      <c r="A86" s="17" t="s">
        <v>170</v>
      </c>
      <c r="B86" s="18">
        <v>60853</v>
      </c>
      <c r="C86" s="18">
        <v>27021</v>
      </c>
      <c r="D86" s="18">
        <v>3808</v>
      </c>
      <c r="E86" s="18">
        <v>8132</v>
      </c>
      <c r="F86" s="18">
        <v>4694</v>
      </c>
      <c r="G86" s="5"/>
      <c r="H86" s="5"/>
      <c r="I86" s="5"/>
      <c r="J86" s="5"/>
      <c r="K86" s="5"/>
    </row>
    <row r="87" spans="1:11" ht="19" x14ac:dyDescent="0.25">
      <c r="A87" s="42" t="s">
        <v>171</v>
      </c>
      <c r="B87" s="44">
        <v>1.2521</v>
      </c>
      <c r="C87" s="44">
        <v>6.0959000000000003</v>
      </c>
      <c r="D87" s="45">
        <v>-0.53169999999999995</v>
      </c>
      <c r="E87" s="44">
        <v>0.73240000000000005</v>
      </c>
      <c r="F87" s="42" t="s">
        <v>18</v>
      </c>
      <c r="G87" s="5"/>
      <c r="H87" s="5"/>
      <c r="I87" s="5"/>
      <c r="J87" s="5"/>
      <c r="K87" s="5"/>
    </row>
    <row r="88" spans="1:11" ht="19" x14ac:dyDescent="0.25">
      <c r="A88" s="42"/>
      <c r="B88" s="44"/>
      <c r="C88" s="44"/>
      <c r="D88" s="45"/>
      <c r="E88" s="44"/>
      <c r="F88" s="42"/>
      <c r="G88" s="5"/>
      <c r="H88" s="5"/>
      <c r="I88" s="5"/>
      <c r="J88" s="5"/>
      <c r="K88" s="5"/>
    </row>
    <row r="89" spans="1:11" x14ac:dyDescent="0.2">
      <c r="A89" s="17" t="s">
        <v>172</v>
      </c>
      <c r="B89" s="19">
        <v>1.8800000000000001E-2</v>
      </c>
      <c r="C89" s="17" t="s">
        <v>18</v>
      </c>
      <c r="D89" s="17" t="s">
        <v>18</v>
      </c>
      <c r="E89" s="17" t="s">
        <v>18</v>
      </c>
      <c r="F89" s="17" t="s">
        <v>18</v>
      </c>
    </row>
  </sheetData>
  <mergeCells count="201">
    <mergeCell ref="E87:E88"/>
    <mergeCell ref="F87:F88"/>
    <mergeCell ref="E82:E83"/>
    <mergeCell ref="F82:F83"/>
    <mergeCell ref="A84:A85"/>
    <mergeCell ref="B84:B85"/>
    <mergeCell ref="C84:C85"/>
    <mergeCell ref="D84:D85"/>
    <mergeCell ref="E84:E85"/>
    <mergeCell ref="F84:F85"/>
    <mergeCell ref="A87:A88"/>
    <mergeCell ref="B87:B88"/>
    <mergeCell ref="C87:C88"/>
    <mergeCell ref="D87:D88"/>
    <mergeCell ref="A82:A83"/>
    <mergeCell ref="B82:B83"/>
    <mergeCell ref="C82:C83"/>
    <mergeCell ref="D82:D83"/>
    <mergeCell ref="E69:E70"/>
    <mergeCell ref="F69:F70"/>
    <mergeCell ref="A72:A73"/>
    <mergeCell ref="B72:B73"/>
    <mergeCell ref="C72:C73"/>
    <mergeCell ref="D72:D73"/>
    <mergeCell ref="E72:E73"/>
    <mergeCell ref="F72:F73"/>
    <mergeCell ref="A74:A75"/>
    <mergeCell ref="B74:B75"/>
    <mergeCell ref="C74:C75"/>
    <mergeCell ref="D74:D75"/>
    <mergeCell ref="E74:E75"/>
    <mergeCell ref="F74:F75"/>
    <mergeCell ref="A69:A70"/>
    <mergeCell ref="B69:B70"/>
    <mergeCell ref="C69:C70"/>
    <mergeCell ref="D69:D70"/>
    <mergeCell ref="E63:E64"/>
    <mergeCell ref="F63:F64"/>
    <mergeCell ref="A67:A68"/>
    <mergeCell ref="B67:B68"/>
    <mergeCell ref="C67:C68"/>
    <mergeCell ref="D67:D68"/>
    <mergeCell ref="E67:E68"/>
    <mergeCell ref="F67:F68"/>
    <mergeCell ref="E59:E60"/>
    <mergeCell ref="F59:F60"/>
    <mergeCell ref="A61:A62"/>
    <mergeCell ref="B61:B62"/>
    <mergeCell ref="C61:C62"/>
    <mergeCell ref="D61:D62"/>
    <mergeCell ref="E61:E62"/>
    <mergeCell ref="F61:F62"/>
    <mergeCell ref="A63:A64"/>
    <mergeCell ref="B63:B64"/>
    <mergeCell ref="C63:C64"/>
    <mergeCell ref="D63:D64"/>
    <mergeCell ref="A59:A60"/>
    <mergeCell ref="B59:B60"/>
    <mergeCell ref="C59:C60"/>
    <mergeCell ref="D59:D60"/>
    <mergeCell ref="A80:A81"/>
    <mergeCell ref="B80:B81"/>
    <mergeCell ref="C80:C81"/>
    <mergeCell ref="D80:D81"/>
    <mergeCell ref="E80:E81"/>
    <mergeCell ref="F80:F81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57:A58"/>
    <mergeCell ref="B57:B58"/>
    <mergeCell ref="C57:C58"/>
    <mergeCell ref="D57:D58"/>
    <mergeCell ref="G56:K56"/>
    <mergeCell ref="E57:E58"/>
    <mergeCell ref="F57:F58"/>
    <mergeCell ref="A52:A53"/>
    <mergeCell ref="B52:B53"/>
    <mergeCell ref="C52:C53"/>
    <mergeCell ref="D52:D53"/>
    <mergeCell ref="E52:E53"/>
    <mergeCell ref="F52:F53"/>
    <mergeCell ref="A50:A51"/>
    <mergeCell ref="B50:B51"/>
    <mergeCell ref="C50:C51"/>
    <mergeCell ref="D50:D51"/>
    <mergeCell ref="E50:E51"/>
    <mergeCell ref="F50:F51"/>
    <mergeCell ref="A47:A48"/>
    <mergeCell ref="B47:B48"/>
    <mergeCell ref="C47:C48"/>
    <mergeCell ref="D47:D48"/>
    <mergeCell ref="E47:E48"/>
    <mergeCell ref="F47:F48"/>
    <mergeCell ref="A44:A45"/>
    <mergeCell ref="B44:B45"/>
    <mergeCell ref="C44:C45"/>
    <mergeCell ref="D44:D45"/>
    <mergeCell ref="E44:E45"/>
    <mergeCell ref="F44:F45"/>
    <mergeCell ref="A42:A43"/>
    <mergeCell ref="B42:B43"/>
    <mergeCell ref="C42:C43"/>
    <mergeCell ref="D42:D43"/>
    <mergeCell ref="E42:E43"/>
    <mergeCell ref="F42:F43"/>
    <mergeCell ref="A40:A41"/>
    <mergeCell ref="B40:B41"/>
    <mergeCell ref="C40:C41"/>
    <mergeCell ref="D40:D41"/>
    <mergeCell ref="E40:E41"/>
    <mergeCell ref="F40:F41"/>
    <mergeCell ref="A38:A39"/>
    <mergeCell ref="B38:B39"/>
    <mergeCell ref="C38:C39"/>
    <mergeCell ref="D38:D39"/>
    <mergeCell ref="E38:E39"/>
    <mergeCell ref="F38:F39"/>
    <mergeCell ref="A36:A37"/>
    <mergeCell ref="B36:B37"/>
    <mergeCell ref="C36:C37"/>
    <mergeCell ref="D36:D37"/>
    <mergeCell ref="E36:E37"/>
    <mergeCell ref="F36:F37"/>
    <mergeCell ref="A34:A35"/>
    <mergeCell ref="B34:B35"/>
    <mergeCell ref="C34:C35"/>
    <mergeCell ref="D34:D35"/>
    <mergeCell ref="E34:E35"/>
    <mergeCell ref="F34:F35"/>
    <mergeCell ref="G31:K31"/>
    <mergeCell ref="A32:A33"/>
    <mergeCell ref="B32:B33"/>
    <mergeCell ref="C32:C33"/>
    <mergeCell ref="D32:D33"/>
    <mergeCell ref="E32:E33"/>
    <mergeCell ref="F32:F33"/>
    <mergeCell ref="E24:E25"/>
    <mergeCell ref="F24:F25"/>
    <mergeCell ref="A27:A28"/>
    <mergeCell ref="B27:B28"/>
    <mergeCell ref="C27:C28"/>
    <mergeCell ref="D27:D28"/>
    <mergeCell ref="E27:E28"/>
    <mergeCell ref="F27:F28"/>
    <mergeCell ref="A24:A25"/>
    <mergeCell ref="B24:B25"/>
    <mergeCell ref="C24:C25"/>
    <mergeCell ref="D24:D25"/>
    <mergeCell ref="E19:E20"/>
    <mergeCell ref="F19:F20"/>
    <mergeCell ref="A21:A22"/>
    <mergeCell ref="B21:B22"/>
    <mergeCell ref="C21:C22"/>
    <mergeCell ref="D21:D22"/>
    <mergeCell ref="E21:E22"/>
    <mergeCell ref="F21:F22"/>
    <mergeCell ref="E11:E12"/>
    <mergeCell ref="F11:F12"/>
    <mergeCell ref="A15:A16"/>
    <mergeCell ref="B15:B16"/>
    <mergeCell ref="C15:C16"/>
    <mergeCell ref="D15:D16"/>
    <mergeCell ref="E15:E16"/>
    <mergeCell ref="F15:F16"/>
    <mergeCell ref="A19:A20"/>
    <mergeCell ref="B19:B20"/>
    <mergeCell ref="C19:C20"/>
    <mergeCell ref="D19:D20"/>
    <mergeCell ref="A17:A18"/>
    <mergeCell ref="B17:B18"/>
    <mergeCell ref="C17:C18"/>
    <mergeCell ref="D17:D18"/>
    <mergeCell ref="E17:E18"/>
    <mergeCell ref="F17:F18"/>
    <mergeCell ref="A11:A12"/>
    <mergeCell ref="B11:B12"/>
    <mergeCell ref="C11:C12"/>
    <mergeCell ref="D11:D12"/>
    <mergeCell ref="G2:K2"/>
    <mergeCell ref="A4:A5"/>
    <mergeCell ref="B4:B5"/>
    <mergeCell ref="C4:C5"/>
    <mergeCell ref="D4:D5"/>
    <mergeCell ref="E4:E5"/>
    <mergeCell ref="F4:F5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AF21-EBDC-3C46-8E9C-82A990F3FBD0}">
  <dimension ref="A1:O34"/>
  <sheetViews>
    <sheetView workbookViewId="0">
      <selection activeCell="B34" sqref="B34"/>
    </sheetView>
  </sheetViews>
  <sheetFormatPr baseColWidth="10" defaultRowHeight="15" x14ac:dyDescent="0.2"/>
  <sheetData>
    <row r="1" spans="1:13" s="47" customFormat="1" ht="27" x14ac:dyDescent="0.35">
      <c r="A1" s="47" t="s">
        <v>174</v>
      </c>
    </row>
    <row r="2" spans="1:13" s="23" customFormat="1" x14ac:dyDescent="0.2">
      <c r="A2" s="23" t="s">
        <v>175</v>
      </c>
      <c r="D2" s="23">
        <v>2021</v>
      </c>
      <c r="E2" s="23">
        <v>2022</v>
      </c>
      <c r="F2" s="23">
        <v>2023</v>
      </c>
      <c r="G2" s="23">
        <v>2024</v>
      </c>
      <c r="H2" s="23">
        <v>2025</v>
      </c>
      <c r="I2" s="23">
        <v>2026</v>
      </c>
      <c r="J2" s="23">
        <v>2027</v>
      </c>
      <c r="K2" s="23">
        <v>2028</v>
      </c>
      <c r="L2" s="23">
        <v>2029</v>
      </c>
      <c r="M2" s="23">
        <v>2030</v>
      </c>
    </row>
    <row r="3" spans="1:13" x14ac:dyDescent="0.2">
      <c r="A3" t="s">
        <v>176</v>
      </c>
      <c r="D3" s="4">
        <v>16675</v>
      </c>
      <c r="E3" s="4">
        <v>26914</v>
      </c>
      <c r="F3" s="4">
        <v>26974</v>
      </c>
      <c r="G3" s="4">
        <v>60922</v>
      </c>
      <c r="H3" s="4">
        <v>130497</v>
      </c>
      <c r="I3">
        <f>H3*(1+I24)</f>
        <v>165209.20199999999</v>
      </c>
      <c r="J3">
        <f>I3*(1+J24)</f>
        <v>209154.849732</v>
      </c>
      <c r="K3">
        <f t="shared" ref="K3:M3" si="0">J3*(1+K24)</f>
        <v>264790.03976071201</v>
      </c>
      <c r="L3">
        <f t="shared" si="0"/>
        <v>335224.19033706142</v>
      </c>
      <c r="M3">
        <f t="shared" si="0"/>
        <v>424393.82496671978</v>
      </c>
    </row>
    <row r="4" spans="1:13" s="23" customFormat="1" x14ac:dyDescent="0.2">
      <c r="A4" s="23" t="s">
        <v>12</v>
      </c>
      <c r="D4" s="26">
        <v>6279</v>
      </c>
      <c r="E4" s="26">
        <v>9439</v>
      </c>
      <c r="F4" s="26">
        <v>11618</v>
      </c>
      <c r="G4" s="26">
        <v>16621</v>
      </c>
      <c r="H4" s="26">
        <v>32639</v>
      </c>
      <c r="I4" s="23">
        <f>H4*I25</f>
        <v>10972.642624094638</v>
      </c>
      <c r="J4" s="23">
        <f t="shared" ref="J4:M4" si="1">I4*J25</f>
        <v>3688.8043799166176</v>
      </c>
      <c r="K4" s="23">
        <f t="shared" si="1"/>
        <v>1240.1094448671856</v>
      </c>
      <c r="L4" s="23">
        <f t="shared" si="1"/>
        <v>416.90240979478602</v>
      </c>
      <c r="M4" s="23">
        <f t="shared" si="1"/>
        <v>140.15506454860869</v>
      </c>
    </row>
    <row r="5" spans="1:13" x14ac:dyDescent="0.2">
      <c r="A5" s="24" t="s">
        <v>177</v>
      </c>
      <c r="D5" s="3">
        <f t="shared" ref="D5:I5" si="2">D3-D4</f>
        <v>10396</v>
      </c>
      <c r="E5" s="3">
        <f t="shared" si="2"/>
        <v>17475</v>
      </c>
      <c r="F5" s="3">
        <f t="shared" si="2"/>
        <v>15356</v>
      </c>
      <c r="G5" s="3">
        <f t="shared" si="2"/>
        <v>44301</v>
      </c>
      <c r="H5" s="3">
        <f t="shared" si="2"/>
        <v>97858</v>
      </c>
      <c r="I5" s="3">
        <f t="shared" si="2"/>
        <v>154236.55937590534</v>
      </c>
      <c r="J5" s="3">
        <f t="shared" ref="J5:M5" si="3">J3-J4</f>
        <v>205466.0453520834</v>
      </c>
      <c r="K5" s="3">
        <f t="shared" si="3"/>
        <v>263549.93031584483</v>
      </c>
      <c r="L5" s="3">
        <f t="shared" si="3"/>
        <v>334807.28792726662</v>
      </c>
      <c r="M5" s="3">
        <f t="shared" si="3"/>
        <v>424253.66990217118</v>
      </c>
    </row>
    <row r="6" spans="1:13" x14ac:dyDescent="0.2">
      <c r="A6" t="s">
        <v>178</v>
      </c>
      <c r="I6" t="s">
        <v>198</v>
      </c>
    </row>
    <row r="7" spans="1:13" x14ac:dyDescent="0.2">
      <c r="A7" t="s">
        <v>179</v>
      </c>
      <c r="D7" s="4">
        <v>5836</v>
      </c>
      <c r="E7" s="4">
        <v>7434</v>
      </c>
      <c r="F7" s="4">
        <v>9779</v>
      </c>
      <c r="G7" s="4">
        <v>11329</v>
      </c>
      <c r="H7" s="4">
        <v>16405</v>
      </c>
      <c r="I7">
        <f>I5*I25</f>
        <v>51851.547094021342</v>
      </c>
      <c r="J7">
        <f>J5*J25</f>
        <v>69073.975521138287</v>
      </c>
      <c r="K7">
        <f t="shared" ref="K7:M7" si="4">K5*K25</f>
        <v>88600.729157168142</v>
      </c>
      <c r="L7">
        <f t="shared" si="4"/>
        <v>112556.16649922646</v>
      </c>
      <c r="M7">
        <f t="shared" si="4"/>
        <v>142626.42549701707</v>
      </c>
    </row>
    <row r="8" spans="1:13" s="23" customFormat="1" x14ac:dyDescent="0.2">
      <c r="A8" s="23" t="s">
        <v>180</v>
      </c>
      <c r="D8" s="27">
        <f>D7</f>
        <v>5836</v>
      </c>
      <c r="E8" s="27">
        <f>E7</f>
        <v>7434</v>
      </c>
      <c r="F8" s="27">
        <f t="shared" ref="F8:H8" si="5">F7</f>
        <v>9779</v>
      </c>
      <c r="G8" s="27">
        <f t="shared" si="5"/>
        <v>11329</v>
      </c>
      <c r="H8" s="27">
        <f t="shared" si="5"/>
        <v>16405</v>
      </c>
      <c r="I8" s="23">
        <f>I7</f>
        <v>51851.547094021342</v>
      </c>
      <c r="J8" s="23">
        <f t="shared" ref="J8:M8" si="6">J7</f>
        <v>69073.975521138287</v>
      </c>
      <c r="K8" s="23">
        <f t="shared" si="6"/>
        <v>88600.729157168142</v>
      </c>
      <c r="L8" s="23">
        <f t="shared" si="6"/>
        <v>112556.16649922646</v>
      </c>
      <c r="M8" s="23">
        <f t="shared" si="6"/>
        <v>142626.42549701707</v>
      </c>
    </row>
    <row r="9" spans="1:13" x14ac:dyDescent="0.2">
      <c r="A9" s="24" t="s">
        <v>54</v>
      </c>
      <c r="D9" s="3">
        <f>D11+D10</f>
        <v>5714</v>
      </c>
      <c r="E9" s="3">
        <f>E11+E10</f>
        <v>11215</v>
      </c>
      <c r="F9" s="3">
        <f>F11+F10</f>
        <v>7121</v>
      </c>
      <c r="G9" s="3">
        <f>G11+G10</f>
        <v>34480</v>
      </c>
      <c r="H9" s="3">
        <f>H11+H10</f>
        <v>83317</v>
      </c>
      <c r="I9" s="3">
        <f>I5-I8</f>
        <v>102385.012281884</v>
      </c>
      <c r="J9" s="3">
        <f t="shared" ref="J9:M9" si="7">J5-J8</f>
        <v>136392.06983094511</v>
      </c>
      <c r="K9" s="3">
        <f t="shared" si="7"/>
        <v>174949.2011586767</v>
      </c>
      <c r="L9" s="3">
        <f t="shared" si="7"/>
        <v>222251.12142804015</v>
      </c>
      <c r="M9" s="3">
        <f t="shared" si="7"/>
        <v>281627.24440515414</v>
      </c>
    </row>
    <row r="10" spans="1:13" s="23" customFormat="1" x14ac:dyDescent="0.2">
      <c r="A10" s="23" t="s">
        <v>181</v>
      </c>
      <c r="D10" s="26">
        <v>1098</v>
      </c>
      <c r="E10" s="26">
        <v>1174</v>
      </c>
      <c r="F10" s="26">
        <v>1544</v>
      </c>
      <c r="G10" s="26">
        <v>1508</v>
      </c>
      <c r="H10" s="26">
        <v>1864</v>
      </c>
      <c r="I10" s="26">
        <v>2826.6</v>
      </c>
      <c r="J10" s="23">
        <v>3391.92</v>
      </c>
      <c r="K10" s="23">
        <v>4070.3040000000001</v>
      </c>
      <c r="L10" s="23">
        <v>4884.3648000000003</v>
      </c>
      <c r="M10" s="23">
        <v>5861.23776</v>
      </c>
    </row>
    <row r="11" spans="1:13" x14ac:dyDescent="0.2">
      <c r="A11" s="24" t="s">
        <v>182</v>
      </c>
      <c r="D11" s="4">
        <v>4616</v>
      </c>
      <c r="E11" s="4">
        <v>10041</v>
      </c>
      <c r="F11" s="4">
        <v>5577</v>
      </c>
      <c r="G11" s="4">
        <v>32972</v>
      </c>
      <c r="H11" s="4">
        <v>81453</v>
      </c>
      <c r="I11" s="3">
        <f>I9-I10</f>
        <v>99558.412281883997</v>
      </c>
      <c r="J11" s="3">
        <f t="shared" ref="J11:M11" si="8">J9-J10</f>
        <v>133000.1498309451</v>
      </c>
      <c r="K11" s="3">
        <f t="shared" si="8"/>
        <v>170878.8971586767</v>
      </c>
      <c r="L11" s="3">
        <f t="shared" si="8"/>
        <v>217366.75662804014</v>
      </c>
      <c r="M11" s="3">
        <f t="shared" si="8"/>
        <v>275766.00664515415</v>
      </c>
    </row>
    <row r="12" spans="1:13" s="23" customFormat="1" x14ac:dyDescent="0.2">
      <c r="A12" s="23" t="s">
        <v>183</v>
      </c>
      <c r="D12" s="23">
        <v>77</v>
      </c>
      <c r="E12" s="23">
        <v>189</v>
      </c>
      <c r="F12" s="23">
        <v>-187</v>
      </c>
      <c r="G12" s="23">
        <v>4058</v>
      </c>
      <c r="H12" s="23">
        <v>11146</v>
      </c>
      <c r="I12" s="23">
        <f>I11*I27</f>
        <v>16427.13802651086</v>
      </c>
      <c r="J12" s="23">
        <f t="shared" ref="J12:M12" si="9">J11*J27</f>
        <v>21945.024722105944</v>
      </c>
      <c r="K12" s="23">
        <f t="shared" si="9"/>
        <v>28195.018031181658</v>
      </c>
      <c r="L12" s="23">
        <f t="shared" si="9"/>
        <v>35865.514843626624</v>
      </c>
      <c r="M12" s="23">
        <f t="shared" si="9"/>
        <v>45501.391096450439</v>
      </c>
    </row>
    <row r="13" spans="1:13" x14ac:dyDescent="0.2">
      <c r="A13" s="24" t="s">
        <v>184</v>
      </c>
      <c r="D13" s="3">
        <f>D11-D12</f>
        <v>4539</v>
      </c>
      <c r="E13" s="3">
        <f t="shared" ref="E13:G13" si="10">E11-E12</f>
        <v>9852</v>
      </c>
      <c r="F13" s="3">
        <f t="shared" si="10"/>
        <v>5764</v>
      </c>
      <c r="G13" s="3">
        <f t="shared" si="10"/>
        <v>28914</v>
      </c>
      <c r="H13" s="3">
        <f>H11-H12</f>
        <v>70307</v>
      </c>
      <c r="I13" s="3">
        <f>I11-I12</f>
        <v>83131.274255373137</v>
      </c>
      <c r="J13" s="3">
        <f t="shared" ref="J13:M13" si="11">J11-J12</f>
        <v>111055.12510883916</v>
      </c>
      <c r="K13" s="3">
        <f t="shared" si="11"/>
        <v>142683.87912749505</v>
      </c>
      <c r="L13" s="3">
        <f t="shared" si="11"/>
        <v>181501.24178441352</v>
      </c>
      <c r="M13" s="3">
        <f t="shared" si="11"/>
        <v>230264.6155487037</v>
      </c>
    </row>
    <row r="14" spans="1:13" x14ac:dyDescent="0.2">
      <c r="A14" t="s">
        <v>185</v>
      </c>
      <c r="D14" s="4">
        <v>1098</v>
      </c>
      <c r="E14" s="4">
        <v>1174</v>
      </c>
      <c r="F14" s="4">
        <v>1544</v>
      </c>
      <c r="G14" s="4">
        <v>1508</v>
      </c>
      <c r="H14" s="4">
        <v>1864</v>
      </c>
      <c r="I14" s="3">
        <f>I10</f>
        <v>2826.6</v>
      </c>
      <c r="J14" s="3">
        <f t="shared" ref="J14:M14" si="12">J10</f>
        <v>3391.92</v>
      </c>
      <c r="K14" s="3">
        <f t="shared" si="12"/>
        <v>4070.3040000000001</v>
      </c>
      <c r="L14" s="3">
        <f t="shared" si="12"/>
        <v>4884.3648000000003</v>
      </c>
      <c r="M14" s="3">
        <f t="shared" si="12"/>
        <v>5861.23776</v>
      </c>
    </row>
    <row r="15" spans="1:13" x14ac:dyDescent="0.2">
      <c r="A15" s="25" t="s">
        <v>186</v>
      </c>
      <c r="D15" s="3">
        <v>1130</v>
      </c>
      <c r="E15" s="3">
        <v>976</v>
      </c>
      <c r="F15" s="3">
        <v>1830</v>
      </c>
      <c r="G15" s="3">
        <v>1070</v>
      </c>
      <c r="H15" s="3">
        <v>3240</v>
      </c>
      <c r="I15" s="3">
        <v>4442</v>
      </c>
      <c r="J15" s="3">
        <v>5530.16</v>
      </c>
      <c r="K15" s="3">
        <v>6396.192</v>
      </c>
      <c r="L15" s="3">
        <v>7675.4304000000002</v>
      </c>
      <c r="M15" s="3">
        <v>9210.5164800000002</v>
      </c>
    </row>
    <row r="16" spans="1:13" x14ac:dyDescent="0.2">
      <c r="A16" s="25" t="s">
        <v>187</v>
      </c>
      <c r="D16">
        <v>-703</v>
      </c>
      <c r="E16">
        <v>-3363</v>
      </c>
      <c r="F16">
        <v>-2207</v>
      </c>
      <c r="G16">
        <v>-3722</v>
      </c>
      <c r="H16">
        <v>-9383</v>
      </c>
      <c r="I16">
        <f>I17-H17</f>
        <v>-2569.1919112319883</v>
      </c>
      <c r="J16">
        <f t="shared" ref="J16:M16" si="13">J17-I17</f>
        <v>16286.93911171428</v>
      </c>
      <c r="K16">
        <f t="shared" si="13"/>
        <v>20388.588022355136</v>
      </c>
      <c r="L16">
        <f t="shared" si="13"/>
        <v>27096.979788945711</v>
      </c>
      <c r="M16">
        <f t="shared" si="13"/>
        <v>32734.504802728174</v>
      </c>
    </row>
    <row r="17" spans="1:15" x14ac:dyDescent="0.2">
      <c r="A17" s="25" t="s">
        <v>188</v>
      </c>
      <c r="D17">
        <f t="shared" ref="D17:I17" si="14">D18-D19</f>
        <v>12130</v>
      </c>
      <c r="E17">
        <f t="shared" si="14"/>
        <v>24494</v>
      </c>
      <c r="F17">
        <f t="shared" si="14"/>
        <v>16510</v>
      </c>
      <c r="G17">
        <f t="shared" si="14"/>
        <v>33714</v>
      </c>
      <c r="H17">
        <f t="shared" si="14"/>
        <v>62079</v>
      </c>
      <c r="I17">
        <f t="shared" si="14"/>
        <v>59509.808088768012</v>
      </c>
      <c r="J17">
        <f t="shared" ref="J17:M17" si="15">J18-J19</f>
        <v>75796.747200482292</v>
      </c>
      <c r="K17">
        <f t="shared" si="15"/>
        <v>96185.335222837428</v>
      </c>
      <c r="L17">
        <f t="shared" si="15"/>
        <v>123282.31501178314</v>
      </c>
      <c r="M17">
        <f t="shared" si="15"/>
        <v>156016.81981451131</v>
      </c>
    </row>
    <row r="18" spans="1:15" x14ac:dyDescent="0.2">
      <c r="A18" s="25" t="s">
        <v>189</v>
      </c>
      <c r="D18">
        <v>16055</v>
      </c>
      <c r="E18">
        <v>28829</v>
      </c>
      <c r="F18">
        <v>23073</v>
      </c>
      <c r="G18">
        <v>44345</v>
      </c>
      <c r="H18">
        <v>80126</v>
      </c>
      <c r="I18">
        <f>'Working Capital '!H6</f>
        <v>94204.918341338052</v>
      </c>
      <c r="J18">
        <f>'Working Capital '!I6</f>
        <v>119263.42662013396</v>
      </c>
      <c r="K18">
        <f>'Working Capital '!J6</f>
        <v>150987.49810108962</v>
      </c>
      <c r="L18">
        <f>'Working Capital '!K6</f>
        <v>191150.17259597941</v>
      </c>
      <c r="M18">
        <f>'Working Capital '!L6</f>
        <v>241996.11850650993</v>
      </c>
    </row>
    <row r="19" spans="1:15" x14ac:dyDescent="0.2">
      <c r="A19" s="25" t="s">
        <v>190</v>
      </c>
      <c r="D19">
        <v>3925</v>
      </c>
      <c r="E19">
        <v>4335</v>
      </c>
      <c r="F19">
        <v>6563</v>
      </c>
      <c r="G19">
        <v>10631</v>
      </c>
      <c r="H19">
        <v>18047</v>
      </c>
      <c r="I19">
        <f>'Working Capital '!H10</f>
        <v>34695.110252570041</v>
      </c>
      <c r="J19">
        <f>'Working Capital '!I10</f>
        <v>43466.679419651671</v>
      </c>
      <c r="K19">
        <f>'Working Capital '!J10</f>
        <v>54802.162878252188</v>
      </c>
      <c r="L19">
        <f>'Working Capital '!K10</f>
        <v>67867.857584196274</v>
      </c>
      <c r="M19">
        <f>'Working Capital '!L10</f>
        <v>85979.298691998614</v>
      </c>
    </row>
    <row r="20" spans="1:15" x14ac:dyDescent="0.2">
      <c r="A20" s="25" t="s">
        <v>191</v>
      </c>
      <c r="D20" s="18">
        <f>D13+D14-D15-D16</f>
        <v>5210</v>
      </c>
      <c r="E20" s="18">
        <f>E13+E14-E15-E16</f>
        <v>13413</v>
      </c>
      <c r="F20" s="18">
        <f>F13+F14-F15-F16</f>
        <v>7685</v>
      </c>
      <c r="G20" s="18">
        <f>G13+G14-G15-G16</f>
        <v>33074</v>
      </c>
      <c r="H20" s="18">
        <f>H13+H14-H15-H16</f>
        <v>78314</v>
      </c>
      <c r="I20" s="18">
        <f t="shared" ref="I20:M20" si="16">I13+I14-I15-I16</f>
        <v>84085.066166605131</v>
      </c>
      <c r="J20" s="18">
        <f t="shared" si="16"/>
        <v>92629.945997124873</v>
      </c>
      <c r="K20" s="18">
        <f t="shared" si="16"/>
        <v>119969.40310513991</v>
      </c>
      <c r="L20" s="18">
        <f t="shared" si="16"/>
        <v>151613.19639546779</v>
      </c>
      <c r="M20" s="18">
        <f t="shared" si="16"/>
        <v>194180.83202597551</v>
      </c>
    </row>
    <row r="22" spans="1:15" x14ac:dyDescent="0.2">
      <c r="A22" t="s">
        <v>192</v>
      </c>
    </row>
    <row r="23" spans="1:15" x14ac:dyDescent="0.2">
      <c r="A23" t="s">
        <v>193</v>
      </c>
      <c r="D23">
        <v>2021</v>
      </c>
      <c r="E23">
        <v>2022</v>
      </c>
      <c r="F23">
        <v>2023</v>
      </c>
      <c r="G23">
        <v>2024</v>
      </c>
      <c r="H23">
        <v>2025</v>
      </c>
      <c r="I23">
        <v>2026</v>
      </c>
      <c r="J23">
        <v>2027</v>
      </c>
      <c r="K23">
        <v>2028</v>
      </c>
      <c r="L23">
        <v>2029</v>
      </c>
      <c r="M23">
        <v>2030</v>
      </c>
      <c r="O23" t="s">
        <v>199</v>
      </c>
    </row>
    <row r="24" spans="1:15" x14ac:dyDescent="0.2">
      <c r="A24" t="s">
        <v>197</v>
      </c>
      <c r="E24">
        <f>E3/D3-E341</f>
        <v>1.6140329835082459</v>
      </c>
      <c r="F24">
        <f>F3/E3-1</f>
        <v>2.2293230289069932E-3</v>
      </c>
      <c r="G24">
        <f>G3/F3-1</f>
        <v>1.2585452658115224</v>
      </c>
      <c r="H24">
        <f t="shared" ref="H24" si="17">H3/G3-1</f>
        <v>1.1420340763599355</v>
      </c>
      <c r="I24">
        <v>0.26600000000000001</v>
      </c>
      <c r="J24">
        <v>0.26600000000000001</v>
      </c>
      <c r="K24">
        <v>0.26600000000000001</v>
      </c>
      <c r="L24">
        <v>0.26600000000000001</v>
      </c>
      <c r="M24">
        <v>0.26600000000000001</v>
      </c>
    </row>
    <row r="25" spans="1:15" x14ac:dyDescent="0.2">
      <c r="A25" t="s">
        <v>194</v>
      </c>
      <c r="D25">
        <f>D4/D3</f>
        <v>0.37655172413793103</v>
      </c>
      <c r="E25">
        <f>E4/E3</f>
        <v>0.35070966783086871</v>
      </c>
      <c r="F25">
        <f>F4/F3</f>
        <v>0.43071105509008673</v>
      </c>
      <c r="G25">
        <f>G4/G3</f>
        <v>0.27282426709563046</v>
      </c>
      <c r="H25">
        <f>H4/H3</f>
        <v>0.25011302941830083</v>
      </c>
      <c r="I25">
        <f>AVERAGE(D25:H25)</f>
        <v>0.33618194871456353</v>
      </c>
      <c r="J25">
        <f t="shared" ref="J25:M27" si="18">I25</f>
        <v>0.33618194871456353</v>
      </c>
      <c r="K25">
        <f t="shared" si="18"/>
        <v>0.33618194871456353</v>
      </c>
      <c r="L25">
        <f t="shared" si="18"/>
        <v>0.33618194871456353</v>
      </c>
      <c r="M25">
        <f t="shared" si="18"/>
        <v>0.33618194871456353</v>
      </c>
    </row>
    <row r="26" spans="1:15" x14ac:dyDescent="0.2">
      <c r="A26" t="s">
        <v>195</v>
      </c>
      <c r="D26">
        <f>D7/D3</f>
        <v>0.34998500749625189</v>
      </c>
      <c r="E26">
        <f>E7/E3</f>
        <v>0.2762131232815635</v>
      </c>
      <c r="F26">
        <f>F7/F3</f>
        <v>0.36253429228145623</v>
      </c>
      <c r="G26">
        <f>G7/G3</f>
        <v>0.18595909523653195</v>
      </c>
      <c r="H26">
        <f>H7/H3</f>
        <v>0.12571170218472455</v>
      </c>
      <c r="I26">
        <f>AVERAGE(D26:H26)</f>
        <v>0.2600806440961056</v>
      </c>
      <c r="J26">
        <f t="shared" si="18"/>
        <v>0.2600806440961056</v>
      </c>
      <c r="K26">
        <f t="shared" si="18"/>
        <v>0.2600806440961056</v>
      </c>
      <c r="L26">
        <f t="shared" si="18"/>
        <v>0.2600806440961056</v>
      </c>
      <c r="M26">
        <f t="shared" si="18"/>
        <v>0.2600806440961056</v>
      </c>
    </row>
    <row r="27" spans="1:15" x14ac:dyDescent="0.2">
      <c r="A27" t="s">
        <v>196</v>
      </c>
      <c r="D27">
        <f>D12/D11</f>
        <v>1.6681109185441943E-2</v>
      </c>
      <c r="E27">
        <f>E12/E11</f>
        <v>1.8822826411711981E-2</v>
      </c>
      <c r="F27">
        <f>F12/F11</f>
        <v>-3.3530571992110451E-2</v>
      </c>
      <c r="G27">
        <f>G12/G11</f>
        <v>0.12307412349872619</v>
      </c>
      <c r="H27">
        <f>H12/H11</f>
        <v>0.13683964985942815</v>
      </c>
      <c r="I27">
        <v>0.16500000000000001</v>
      </c>
      <c r="J27">
        <f t="shared" si="18"/>
        <v>0.16500000000000001</v>
      </c>
      <c r="K27">
        <f t="shared" si="18"/>
        <v>0.16500000000000001</v>
      </c>
      <c r="L27">
        <f t="shared" si="18"/>
        <v>0.16500000000000001</v>
      </c>
      <c r="M27">
        <f t="shared" si="18"/>
        <v>0.16500000000000001</v>
      </c>
    </row>
    <row r="30" spans="1:15" x14ac:dyDescent="0.2">
      <c r="A30" s="3">
        <f>E3-D3</f>
        <v>10239</v>
      </c>
    </row>
    <row r="31" spans="1:15" x14ac:dyDescent="0.2">
      <c r="A31">
        <f>A30/D3</f>
        <v>0.61403298350824587</v>
      </c>
    </row>
    <row r="34" spans="4:4" x14ac:dyDescent="0.2">
      <c r="D34" s="3"/>
    </row>
  </sheetData>
  <mergeCells count="1">
    <mergeCell ref="A1:XF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F4E5-48A9-FC4F-9C6F-336D58AFD153}">
  <dimension ref="A1:L35"/>
  <sheetViews>
    <sheetView workbookViewId="0">
      <selection sqref="A1:XFD1"/>
    </sheetView>
  </sheetViews>
  <sheetFormatPr baseColWidth="10" defaultRowHeight="15" x14ac:dyDescent="0.2"/>
  <sheetData>
    <row r="1" spans="1:11" s="47" customFormat="1" ht="27" x14ac:dyDescent="0.35">
      <c r="A1" s="47" t="s">
        <v>254</v>
      </c>
    </row>
    <row r="2" spans="1:11" x14ac:dyDescent="0.2">
      <c r="A2" t="s">
        <v>193</v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</row>
    <row r="3" spans="1:11" ht="17" x14ac:dyDescent="0.2">
      <c r="A3" t="s">
        <v>201</v>
      </c>
      <c r="B3" s="28">
        <v>1674</v>
      </c>
      <c r="C3" s="18">
        <v>2856</v>
      </c>
      <c r="D3" s="18">
        <v>3607</v>
      </c>
      <c r="E3" s="18">
        <v>4845</v>
      </c>
      <c r="F3" s="18">
        <v>5260</v>
      </c>
      <c r="G3" s="3">
        <f>F6</f>
        <v>8076</v>
      </c>
      <c r="H3" s="3">
        <f>G6</f>
        <v>9691.2000000000007</v>
      </c>
      <c r="I3" s="3">
        <f>H6</f>
        <v>11629.440000000002</v>
      </c>
      <c r="J3" s="3">
        <f>I6</f>
        <v>13955.328000000005</v>
      </c>
      <c r="K3" s="3">
        <f>J6</f>
        <v>16746.393600000007</v>
      </c>
    </row>
    <row r="4" spans="1:11" x14ac:dyDescent="0.2">
      <c r="A4" t="s">
        <v>202</v>
      </c>
      <c r="B4" s="18">
        <v>1098</v>
      </c>
      <c r="C4" s="18">
        <v>1174</v>
      </c>
      <c r="D4" s="18">
        <v>1544</v>
      </c>
      <c r="E4" s="18">
        <v>1508</v>
      </c>
      <c r="F4" s="18">
        <v>1864</v>
      </c>
      <c r="G4">
        <f>G3*G10</f>
        <v>2826.6</v>
      </c>
      <c r="H4">
        <f>H3*H10</f>
        <v>3391.92</v>
      </c>
      <c r="I4">
        <f>I3*I10</f>
        <v>4070.3040000000005</v>
      </c>
      <c r="J4">
        <f>J3*J10</f>
        <v>4884.3648000000012</v>
      </c>
      <c r="K4">
        <f>K3*K10</f>
        <v>5861.2377600000018</v>
      </c>
    </row>
    <row r="5" spans="1:11" x14ac:dyDescent="0.2">
      <c r="A5" t="s">
        <v>203</v>
      </c>
      <c r="B5" s="3">
        <v>1130</v>
      </c>
      <c r="C5" s="3">
        <v>976</v>
      </c>
      <c r="D5" s="3">
        <v>1830</v>
      </c>
      <c r="E5" s="3">
        <v>1070</v>
      </c>
      <c r="F5" s="3">
        <v>3240</v>
      </c>
      <c r="G5" s="3">
        <f>G3*G11</f>
        <v>4441.8</v>
      </c>
      <c r="H5">
        <f>H3*H11</f>
        <v>5330.1600000000008</v>
      </c>
      <c r="I5">
        <f>I3*I11</f>
        <v>6396.1920000000018</v>
      </c>
      <c r="J5">
        <f>J3*J11</f>
        <v>7675.4304000000029</v>
      </c>
      <c r="K5">
        <f>K3*K11</f>
        <v>9210.5164800000039</v>
      </c>
    </row>
    <row r="6" spans="1:11" x14ac:dyDescent="0.2">
      <c r="A6" t="s">
        <v>204</v>
      </c>
      <c r="B6" s="18">
        <v>2856</v>
      </c>
      <c r="C6" s="18">
        <v>3607</v>
      </c>
      <c r="D6" s="18">
        <v>4845</v>
      </c>
      <c r="E6" s="18">
        <v>5260</v>
      </c>
      <c r="F6" s="18">
        <v>8076</v>
      </c>
      <c r="G6" s="3">
        <f>G3-G4+G5</f>
        <v>9691.2000000000007</v>
      </c>
      <c r="H6" s="3">
        <f>H3-H4+H5</f>
        <v>11629.440000000002</v>
      </c>
      <c r="I6" s="3">
        <f>I3-I4+I5</f>
        <v>13955.328000000005</v>
      </c>
      <c r="J6" s="3">
        <f>J3-J4+J5</f>
        <v>16746.393600000007</v>
      </c>
      <c r="K6" s="3">
        <f>K3-K4+K5</f>
        <v>20095.672320000009</v>
      </c>
    </row>
    <row r="8" spans="1:11" x14ac:dyDescent="0.2">
      <c r="A8" t="s">
        <v>205</v>
      </c>
    </row>
    <row r="9" spans="1:11" x14ac:dyDescent="0.2">
      <c r="A9" t="s">
        <v>193</v>
      </c>
      <c r="B9">
        <v>2021</v>
      </c>
      <c r="C9">
        <v>2022</v>
      </c>
      <c r="D9">
        <v>2023</v>
      </c>
      <c r="E9">
        <v>2024</v>
      </c>
      <c r="F9">
        <v>2025</v>
      </c>
      <c r="G9">
        <v>2026</v>
      </c>
      <c r="H9">
        <v>2027</v>
      </c>
      <c r="I9">
        <v>2028</v>
      </c>
      <c r="J9">
        <v>2029</v>
      </c>
      <c r="K9">
        <v>2030</v>
      </c>
    </row>
    <row r="10" spans="1:11" x14ac:dyDescent="0.2">
      <c r="A10" t="s">
        <v>206</v>
      </c>
      <c r="B10">
        <f>B4/B3</f>
        <v>0.65591397849462363</v>
      </c>
      <c r="C10">
        <f t="shared" ref="C10:E10" si="0">C4/C3</f>
        <v>0.41106442577030811</v>
      </c>
      <c r="D10">
        <f t="shared" si="0"/>
        <v>0.42805655669531467</v>
      </c>
      <c r="E10">
        <f t="shared" si="0"/>
        <v>0.3112487100103199</v>
      </c>
      <c r="F10">
        <f>F4/F3</f>
        <v>0.35437262357414451</v>
      </c>
      <c r="G10">
        <v>0.35</v>
      </c>
      <c r="H10">
        <v>0.35</v>
      </c>
      <c r="I10">
        <v>0.35</v>
      </c>
      <c r="J10">
        <v>0.35</v>
      </c>
      <c r="K10">
        <v>0.35</v>
      </c>
    </row>
    <row r="11" spans="1:11" x14ac:dyDescent="0.2">
      <c r="A11" t="s">
        <v>207</v>
      </c>
      <c r="B11">
        <f>B5/B3</f>
        <v>0.67502986857825564</v>
      </c>
      <c r="C11">
        <f t="shared" ref="C11:F11" si="1">C5/C3</f>
        <v>0.34173669467787116</v>
      </c>
      <c r="D11">
        <f t="shared" si="1"/>
        <v>0.50734682561685607</v>
      </c>
      <c r="E11">
        <f t="shared" si="1"/>
        <v>0.22084623323013416</v>
      </c>
      <c r="F11">
        <f t="shared" si="1"/>
        <v>0.61596958174904948</v>
      </c>
      <c r="G11">
        <v>0.55000000000000004</v>
      </c>
      <c r="H11">
        <v>0.55000000000000004</v>
      </c>
      <c r="I11">
        <v>0.55000000000000004</v>
      </c>
      <c r="J11">
        <v>0.55000000000000004</v>
      </c>
      <c r="K11">
        <v>0.55000000000000004</v>
      </c>
    </row>
    <row r="14" spans="1:11" ht="17" x14ac:dyDescent="0.2">
      <c r="B14" s="28"/>
      <c r="C14" s="18"/>
      <c r="D14" s="18"/>
      <c r="E14" s="18"/>
      <c r="F14" s="18"/>
      <c r="G14" s="3"/>
      <c r="H14" s="3"/>
      <c r="I14" s="3"/>
      <c r="J14" s="3"/>
      <c r="K14" s="3"/>
    </row>
    <row r="15" spans="1:11" x14ac:dyDescent="0.2">
      <c r="B15" s="18"/>
      <c r="C15" s="18"/>
      <c r="D15" s="18"/>
      <c r="E15" s="18"/>
      <c r="F15" s="18"/>
    </row>
    <row r="16" spans="1:11" x14ac:dyDescent="0.2">
      <c r="B16" s="3"/>
      <c r="C16" s="3"/>
      <c r="D16" s="3"/>
      <c r="E16" s="3"/>
      <c r="F16" s="3"/>
      <c r="G16" s="3"/>
    </row>
    <row r="17" spans="2:12" x14ac:dyDescent="0.2">
      <c r="B17" s="18"/>
      <c r="C17" s="18"/>
      <c r="D17" s="18"/>
      <c r="E17" s="18"/>
      <c r="F17" s="18"/>
      <c r="G17" s="3"/>
      <c r="H17" s="3"/>
      <c r="I17" s="3"/>
      <c r="J17" s="3"/>
      <c r="K17" s="3"/>
    </row>
    <row r="32" spans="2:12" ht="17" x14ac:dyDescent="0.2">
      <c r="C32" s="28"/>
      <c r="D32" s="18"/>
      <c r="E32" s="18"/>
      <c r="F32" s="18"/>
      <c r="G32" s="18"/>
      <c r="H32" s="3"/>
      <c r="I32" s="3"/>
      <c r="J32" s="3"/>
      <c r="K32" s="3"/>
      <c r="L32" s="3"/>
    </row>
    <row r="33" spans="3:12" x14ac:dyDescent="0.2">
      <c r="C33" s="18"/>
      <c r="D33" s="18"/>
      <c r="E33" s="18"/>
      <c r="F33" s="18"/>
      <c r="G33" s="18"/>
    </row>
    <row r="34" spans="3:12" x14ac:dyDescent="0.2">
      <c r="C34" s="3"/>
      <c r="D34" s="3"/>
      <c r="E34" s="3"/>
      <c r="F34" s="3"/>
      <c r="G34" s="3"/>
      <c r="H34" s="3"/>
    </row>
    <row r="35" spans="3:12" x14ac:dyDescent="0.2">
      <c r="C35" s="18"/>
      <c r="D35" s="18"/>
      <c r="E35" s="18"/>
      <c r="F35" s="18"/>
      <c r="G35" s="18"/>
      <c r="H35" s="3"/>
      <c r="I35" s="3"/>
      <c r="J35" s="3"/>
      <c r="K35" s="3"/>
      <c r="L35" s="3"/>
    </row>
  </sheetData>
  <mergeCells count="1">
    <mergeCell ref="A1:XF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F114-AEF7-BC4F-92AB-B6BD1B60B05A}">
  <dimension ref="A1:L23"/>
  <sheetViews>
    <sheetView workbookViewId="0">
      <selection sqref="A1:XFD1"/>
    </sheetView>
  </sheetViews>
  <sheetFormatPr baseColWidth="10" defaultRowHeight="15" x14ac:dyDescent="0.2"/>
  <sheetData>
    <row r="1" spans="1:12" s="47" customFormat="1" ht="27" x14ac:dyDescent="0.35">
      <c r="A1" s="47" t="s">
        <v>208</v>
      </c>
    </row>
    <row r="2" spans="1:12" x14ac:dyDescent="0.2">
      <c r="A2" t="s">
        <v>209</v>
      </c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</row>
    <row r="3" spans="1:12" x14ac:dyDescent="0.2">
      <c r="A3" t="s">
        <v>210</v>
      </c>
      <c r="C3" s="3">
        <v>2429</v>
      </c>
      <c r="D3">
        <v>4650</v>
      </c>
      <c r="E3">
        <v>3827</v>
      </c>
      <c r="F3">
        <v>9999</v>
      </c>
      <c r="G3">
        <v>23065</v>
      </c>
      <c r="H3">
        <f>H18*H15/360</f>
        <v>26472.868898375913</v>
      </c>
      <c r="I3">
        <f t="shared" ref="I3:L3" si="0">I18*I15/360</f>
        <v>33514.652025343901</v>
      </c>
      <c r="J3">
        <f t="shared" si="0"/>
        <v>42429.549464085387</v>
      </c>
      <c r="K3">
        <f t="shared" si="0"/>
        <v>53715.809621532098</v>
      </c>
      <c r="L3">
        <f t="shared" si="0"/>
        <v>68004.21498085963</v>
      </c>
    </row>
    <row r="4" spans="1:12" x14ac:dyDescent="0.2">
      <c r="A4" t="s">
        <v>211</v>
      </c>
      <c r="C4">
        <v>1826</v>
      </c>
      <c r="D4">
        <v>2605</v>
      </c>
      <c r="E4">
        <v>5159</v>
      </c>
      <c r="F4">
        <v>5282</v>
      </c>
      <c r="G4">
        <v>10080</v>
      </c>
      <c r="H4">
        <f>H19*H16/360</f>
        <v>18189.124471572606</v>
      </c>
      <c r="I4">
        <f t="shared" ref="I4:L4" si="1">I19*I16/360</f>
        <v>23027.431581010915</v>
      </c>
      <c r="J4">
        <f t="shared" si="1"/>
        <v>29152.728381559817</v>
      </c>
      <c r="K4">
        <f t="shared" si="1"/>
        <v>36907.35413105473</v>
      </c>
      <c r="L4">
        <f t="shared" si="1"/>
        <v>46724.71032991528</v>
      </c>
    </row>
    <row r="5" spans="1:12" x14ac:dyDescent="0.2">
      <c r="A5" s="23" t="s">
        <v>212</v>
      </c>
      <c r="B5" s="23"/>
      <c r="C5" s="23">
        <v>239</v>
      </c>
      <c r="D5" s="23">
        <v>366</v>
      </c>
      <c r="E5" s="23">
        <v>791</v>
      </c>
      <c r="F5" s="23">
        <v>3080</v>
      </c>
      <c r="G5" s="23">
        <v>3771</v>
      </c>
      <c r="H5" s="23">
        <f>H22*H15</f>
        <v>49542.924971389533</v>
      </c>
      <c r="I5" s="23">
        <f t="shared" ref="I5:L5" si="2">I22*I15</f>
        <v>62721.343013779144</v>
      </c>
      <c r="J5" s="23">
        <f t="shared" si="2"/>
        <v>79405.220255444394</v>
      </c>
      <c r="K5" s="23">
        <f t="shared" si="2"/>
        <v>100527.00884339258</v>
      </c>
      <c r="L5" s="23">
        <f t="shared" si="2"/>
        <v>127267.19319573502</v>
      </c>
    </row>
    <row r="6" spans="1:12" x14ac:dyDescent="0.2">
      <c r="A6" s="29" t="s">
        <v>3</v>
      </c>
      <c r="B6" s="23"/>
      <c r="C6" s="27">
        <f t="shared" ref="C6:I6" si="3">SUM(C3:C5)</f>
        <v>4494</v>
      </c>
      <c r="D6" s="23">
        <f t="shared" si="3"/>
        <v>7621</v>
      </c>
      <c r="E6" s="23">
        <f t="shared" si="3"/>
        <v>9777</v>
      </c>
      <c r="F6" s="23">
        <f t="shared" si="3"/>
        <v>18361</v>
      </c>
      <c r="G6" s="23">
        <f t="shared" si="3"/>
        <v>36916</v>
      </c>
      <c r="H6" s="23">
        <f t="shared" si="3"/>
        <v>94204.918341338052</v>
      </c>
      <c r="I6" s="23">
        <f t="shared" si="3"/>
        <v>119263.42662013396</v>
      </c>
      <c r="J6" s="23">
        <f t="shared" ref="J6:L6" si="4">SUM(J3:J5)</f>
        <v>150987.49810108962</v>
      </c>
      <c r="K6" s="23">
        <f t="shared" si="4"/>
        <v>191150.17259597941</v>
      </c>
      <c r="L6" s="23">
        <f t="shared" si="4"/>
        <v>241996.11850650993</v>
      </c>
    </row>
    <row r="8" spans="1:12" x14ac:dyDescent="0.2">
      <c r="A8" t="s">
        <v>213</v>
      </c>
      <c r="C8">
        <v>1201</v>
      </c>
      <c r="D8">
        <v>1783</v>
      </c>
      <c r="E8">
        <v>1193</v>
      </c>
      <c r="F8">
        <v>2699</v>
      </c>
      <c r="G8">
        <v>6310</v>
      </c>
      <c r="H8">
        <f>H20*H16/360</f>
        <v>9314.861724412116</v>
      </c>
      <c r="I8">
        <f t="shared" ref="I8:L8" si="5">I20*I16/360</f>
        <v>11792.614943105738</v>
      </c>
      <c r="J8">
        <f t="shared" si="5"/>
        <v>14929.450517971864</v>
      </c>
      <c r="K8">
        <f t="shared" si="5"/>
        <v>18900.684355752379</v>
      </c>
      <c r="L8">
        <f t="shared" si="5"/>
        <v>23928.266394382514</v>
      </c>
    </row>
    <row r="9" spans="1:12" x14ac:dyDescent="0.2">
      <c r="A9" s="23" t="s">
        <v>214</v>
      </c>
      <c r="B9" s="23"/>
      <c r="C9" s="23">
        <v>1543</v>
      </c>
      <c r="D9" s="23">
        <v>2408</v>
      </c>
      <c r="E9" s="23">
        <v>3477</v>
      </c>
      <c r="F9" s="23">
        <v>6158</v>
      </c>
      <c r="G9" s="23">
        <v>10568</v>
      </c>
      <c r="H9" s="23">
        <f>H23*H15</f>
        <v>25380.248528157921</v>
      </c>
      <c r="I9" s="23">
        <f>I23*I15</f>
        <v>31674.064476545929</v>
      </c>
      <c r="J9" s="23">
        <f t="shared" ref="J9:L9" si="6">J23*J15</f>
        <v>39872.712360280326</v>
      </c>
      <c r="K9" s="23">
        <f t="shared" si="6"/>
        <v>48967.173228443899</v>
      </c>
      <c r="L9" s="23">
        <f t="shared" si="6"/>
        <v>62051.032297616104</v>
      </c>
    </row>
    <row r="10" spans="1:12" x14ac:dyDescent="0.2">
      <c r="A10" t="s">
        <v>215</v>
      </c>
      <c r="C10">
        <f t="shared" ref="C10:H10" si="7">SUM(C8:C9)</f>
        <v>2744</v>
      </c>
      <c r="D10">
        <f t="shared" si="7"/>
        <v>4191</v>
      </c>
      <c r="E10">
        <f t="shared" si="7"/>
        <v>4670</v>
      </c>
      <c r="F10">
        <f t="shared" si="7"/>
        <v>8857</v>
      </c>
      <c r="G10">
        <f t="shared" si="7"/>
        <v>16878</v>
      </c>
      <c r="H10">
        <f t="shared" si="7"/>
        <v>34695.110252570041</v>
      </c>
      <c r="I10">
        <f t="shared" ref="I10:L10" si="8">SUM(I8:I9)</f>
        <v>43466.679419651671</v>
      </c>
      <c r="J10">
        <f t="shared" si="8"/>
        <v>54802.162878252188</v>
      </c>
      <c r="K10">
        <f t="shared" si="8"/>
        <v>67867.857584196274</v>
      </c>
      <c r="L10">
        <f t="shared" si="8"/>
        <v>85979.298691998614</v>
      </c>
    </row>
    <row r="13" spans="1:12" x14ac:dyDescent="0.2">
      <c r="A13" t="s">
        <v>216</v>
      </c>
    </row>
    <row r="14" spans="1:12" x14ac:dyDescent="0.2">
      <c r="A14" t="s">
        <v>175</v>
      </c>
      <c r="C14">
        <v>2021</v>
      </c>
      <c r="D14">
        <v>2022</v>
      </c>
      <c r="E14">
        <v>2023</v>
      </c>
      <c r="F14">
        <v>2024</v>
      </c>
      <c r="G14">
        <v>2025</v>
      </c>
      <c r="H14">
        <v>2026</v>
      </c>
      <c r="I14">
        <v>2027</v>
      </c>
      <c r="J14">
        <v>2028</v>
      </c>
      <c r="K14">
        <v>2029</v>
      </c>
      <c r="L14">
        <v>2030</v>
      </c>
    </row>
    <row r="15" spans="1:12" x14ac:dyDescent="0.2">
      <c r="A15" t="s">
        <v>0</v>
      </c>
      <c r="C15" s="4">
        <v>16675</v>
      </c>
      <c r="D15" s="4">
        <v>26914</v>
      </c>
      <c r="E15" s="4">
        <v>26974</v>
      </c>
      <c r="F15" s="4">
        <v>60922</v>
      </c>
      <c r="G15" s="4">
        <v>130497</v>
      </c>
      <c r="H15" s="4">
        <f>G15+(G15*'Free Cash Flows'!I24)</f>
        <v>165209.20199999999</v>
      </c>
      <c r="I15" s="4">
        <f>H15+(H15*'Free Cash Flows'!J24)</f>
        <v>209154.84973199997</v>
      </c>
      <c r="J15" s="4">
        <f>I15+(I15*'Free Cash Flows'!K24)</f>
        <v>264790.03976071195</v>
      </c>
      <c r="K15" s="4">
        <f>J15+(J15*'Free Cash Flows'!L24)</f>
        <v>335224.1903370613</v>
      </c>
      <c r="L15" s="4">
        <f>K15+(K15*'Free Cash Flows'!M24)</f>
        <v>424393.82496671961</v>
      </c>
    </row>
    <row r="16" spans="1:12" x14ac:dyDescent="0.2">
      <c r="A16" t="s">
        <v>217</v>
      </c>
      <c r="C16" s="26">
        <v>6279</v>
      </c>
      <c r="D16" s="26">
        <v>9439</v>
      </c>
      <c r="E16" s="26">
        <v>11618</v>
      </c>
      <c r="F16" s="26">
        <v>16621</v>
      </c>
      <c r="G16" s="26">
        <v>32639</v>
      </c>
      <c r="H16">
        <f>H15*'Free Cash Flows'!I25</f>
        <v>55540.351473937961</v>
      </c>
      <c r="I16">
        <f>I15*'Free Cash Flows'!J25</f>
        <v>70314.084966005452</v>
      </c>
      <c r="J16">
        <f>J15*'Free Cash Flows'!K25</f>
        <v>89017.631566962897</v>
      </c>
      <c r="K16">
        <f>K15*'Free Cash Flows'!L25</f>
        <v>112696.32156377503</v>
      </c>
      <c r="L16">
        <f>L15*'Free Cash Flows'!M25</f>
        <v>142673.54309973918</v>
      </c>
    </row>
    <row r="18" spans="1:12" x14ac:dyDescent="0.2">
      <c r="A18" t="s">
        <v>218</v>
      </c>
      <c r="C18">
        <f>C3/C15*360</f>
        <v>52.440179910044982</v>
      </c>
      <c r="D18">
        <f t="shared" ref="D18:G18" si="9">D3/D15*360</f>
        <v>62.198112506502191</v>
      </c>
      <c r="E18">
        <f t="shared" si="9"/>
        <v>51.075850819307476</v>
      </c>
      <c r="F18">
        <f t="shared" si="9"/>
        <v>59.086044450280689</v>
      </c>
      <c r="G18">
        <f t="shared" si="9"/>
        <v>63.629048943653878</v>
      </c>
      <c r="H18">
        <f>AVERAGE(C18:G$18)</f>
        <v>57.685847325957845</v>
      </c>
      <c r="I18">
        <f>AVERAGE(C18:H$18)</f>
        <v>57.685847325957845</v>
      </c>
      <c r="J18">
        <f>AVERAGE(C18:I$18)</f>
        <v>57.685847325957852</v>
      </c>
      <c r="K18">
        <f>AVERAGE(C18:J$18)</f>
        <v>57.685847325957852</v>
      </c>
      <c r="L18">
        <f>AVERAGE(C18:K$18)</f>
        <v>57.685847325957852</v>
      </c>
    </row>
    <row r="19" spans="1:12" x14ac:dyDescent="0.2">
      <c r="A19" t="s">
        <v>219</v>
      </c>
      <c r="C19">
        <f>(C4/C16)*360</f>
        <v>104.69182990922121</v>
      </c>
      <c r="D19">
        <f t="shared" ref="D19:F19" si="10">(D4/D16)*360</f>
        <v>99.353745100116527</v>
      </c>
      <c r="E19">
        <f t="shared" si="10"/>
        <v>159.85883973145118</v>
      </c>
      <c r="F19">
        <f t="shared" si="10"/>
        <v>114.40466879249144</v>
      </c>
      <c r="G19">
        <f>(G4/G16)*360</f>
        <v>111.17987683446184</v>
      </c>
      <c r="H19">
        <f>AVERAGE(C19:G19)</f>
        <v>117.89779207354846</v>
      </c>
      <c r="I19">
        <f>AVERAGE(C19:H19)</f>
        <v>117.89779207354844</v>
      </c>
      <c r="J19">
        <f>AVERAGE(C19:I19)</f>
        <v>117.89779207354844</v>
      </c>
      <c r="K19">
        <f>AVERAGE(C19:J19)</f>
        <v>117.89779207354844</v>
      </c>
      <c r="L19">
        <f>AVERAGE(C19:K19)</f>
        <v>117.89779207354844</v>
      </c>
    </row>
    <row r="20" spans="1:12" x14ac:dyDescent="0.2">
      <c r="A20" t="s">
        <v>220</v>
      </c>
      <c r="C20">
        <f>C8/C16*360</f>
        <v>68.858098423315809</v>
      </c>
      <c r="D20">
        <f t="shared" ref="D20:G20" si="11">D8/D16*360</f>
        <v>68.002966415933884</v>
      </c>
      <c r="E20">
        <f t="shared" si="11"/>
        <v>36.966775692890337</v>
      </c>
      <c r="F20">
        <f t="shared" si="11"/>
        <v>58.458576499608924</v>
      </c>
      <c r="G20">
        <f t="shared" si="11"/>
        <v>69.597720518398233</v>
      </c>
      <c r="H20">
        <f>AVERAGE(C20:G20)</f>
        <v>60.376827510029443</v>
      </c>
      <c r="I20">
        <f>AVERAGE(C20:H20)</f>
        <v>60.376827510029443</v>
      </c>
      <c r="J20">
        <f>AVERAGE(C20:I20)</f>
        <v>60.376827510029443</v>
      </c>
      <c r="K20">
        <f>AVERAGE(C20:J20)</f>
        <v>60.376827510029443</v>
      </c>
      <c r="L20">
        <f>AVERAGE(C20:K20)</f>
        <v>60.376827510029443</v>
      </c>
    </row>
    <row r="22" spans="1:12" x14ac:dyDescent="0.2">
      <c r="A22" t="s">
        <v>221</v>
      </c>
      <c r="C22">
        <f>C6/C$15</f>
        <v>0.26950524737631182</v>
      </c>
      <c r="D22">
        <f>D6/D$15</f>
        <v>0.28316118005498997</v>
      </c>
      <c r="E22">
        <f>E6/E$15</f>
        <v>0.36246014680803734</v>
      </c>
      <c r="F22">
        <f t="shared" ref="F22:G22" si="12">F6/F$15</f>
        <v>0.301385378024359</v>
      </c>
      <c r="G22">
        <f t="shared" si="12"/>
        <v>0.2828877292198288</v>
      </c>
      <c r="H22">
        <f>AVERAGE(C22:G22)</f>
        <v>0.2998799362967054</v>
      </c>
      <c r="I22">
        <f>H22</f>
        <v>0.2998799362967054</v>
      </c>
      <c r="J22">
        <f>I22</f>
        <v>0.2998799362967054</v>
      </c>
      <c r="K22">
        <f>J22</f>
        <v>0.2998799362967054</v>
      </c>
      <c r="L22">
        <f>K22</f>
        <v>0.2998799362967054</v>
      </c>
    </row>
    <row r="23" spans="1:12" x14ac:dyDescent="0.2">
      <c r="A23" t="s">
        <v>222</v>
      </c>
      <c r="C23">
        <f>C10/C15</f>
        <v>0.16455772113943029</v>
      </c>
      <c r="D23">
        <f t="shared" ref="D23:G23" si="13">D10/D15</f>
        <v>0.15571821356914617</v>
      </c>
      <c r="E23">
        <f t="shared" si="13"/>
        <v>0.17312968043300955</v>
      </c>
      <c r="F23">
        <f>F10/F15</f>
        <v>0.14538262039985556</v>
      </c>
      <c r="G23">
        <f t="shared" si="13"/>
        <v>0.12933630658176051</v>
      </c>
      <c r="H23">
        <f>AVERAGE(C23:G23)</f>
        <v>0.15362490842464044</v>
      </c>
      <c r="I23">
        <f t="shared" ref="I23:K23" si="14">AVERAGE(D23:H23)</f>
        <v>0.15143834588168245</v>
      </c>
      <c r="J23">
        <f>AVERAGE(E23:I23)</f>
        <v>0.15058237234418972</v>
      </c>
      <c r="K23">
        <f t="shared" si="14"/>
        <v>0.14607291072642573</v>
      </c>
      <c r="L23">
        <f>AVERAGE(G23:K23)</f>
        <v>0.14621096879173975</v>
      </c>
    </row>
  </sheetData>
  <mergeCells count="1">
    <mergeCell ref="A1:XF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EF86-03E5-4947-B9E2-A0E908F2241B}">
  <dimension ref="A1:P46"/>
  <sheetViews>
    <sheetView tabSelected="1" zoomScale="75" zoomScaleNormal="75" workbookViewId="0">
      <selection activeCell="O41" sqref="O41"/>
    </sheetView>
  </sheetViews>
  <sheetFormatPr baseColWidth="10" defaultRowHeight="15" x14ac:dyDescent="0.2"/>
  <cols>
    <col min="1" max="1" width="33" customWidth="1"/>
    <col min="2" max="2" width="10.83203125" customWidth="1"/>
    <col min="3" max="3" width="12.33203125" customWidth="1"/>
    <col min="4" max="4" width="13.6640625" bestFit="1" customWidth="1"/>
    <col min="15" max="15" width="16.33203125" customWidth="1"/>
  </cols>
  <sheetData>
    <row r="1" spans="1:16" s="32" customFormat="1" ht="27" x14ac:dyDescent="0.35">
      <c r="A1" s="32" t="s">
        <v>223</v>
      </c>
    </row>
    <row r="2" spans="1:16" x14ac:dyDescent="0.2">
      <c r="A2" t="s">
        <v>209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O2" t="s">
        <v>255</v>
      </c>
      <c r="P2">
        <f>SUM(I7:M7)</f>
        <v>585228.95484611602</v>
      </c>
    </row>
    <row r="3" spans="1:16" x14ac:dyDescent="0.2">
      <c r="A3" t="s">
        <v>223</v>
      </c>
      <c r="D3" s="18">
        <f>'Free Cash Flows'!D20</f>
        <v>5210</v>
      </c>
      <c r="E3" s="18">
        <f>'Free Cash Flows'!E20</f>
        <v>13413</v>
      </c>
      <c r="F3" s="18">
        <f>'Free Cash Flows'!F20</f>
        <v>7685</v>
      </c>
      <c r="G3" s="18">
        <f>'Free Cash Flows'!G20</f>
        <v>33074</v>
      </c>
      <c r="H3" s="18">
        <f>'Free Cash Flows'!H20</f>
        <v>78314</v>
      </c>
      <c r="I3" s="34">
        <f>'Free Cash Flows'!I20</f>
        <v>84085.066166605131</v>
      </c>
      <c r="J3" s="34">
        <f>'Free Cash Flows'!J20</f>
        <v>92629.945997124873</v>
      </c>
      <c r="K3" s="34">
        <f>'Free Cash Flows'!K20</f>
        <v>119969.40310513991</v>
      </c>
      <c r="L3" s="34">
        <f>'Free Cash Flows'!L20</f>
        <v>151613.19639546779</v>
      </c>
      <c r="M3" s="34">
        <f>'Free Cash Flows'!M20</f>
        <v>194180.83202597551</v>
      </c>
      <c r="O3" t="s">
        <v>230</v>
      </c>
      <c r="P3">
        <f>D18/(1+D16)^5</f>
        <v>2190116.0393039421</v>
      </c>
    </row>
    <row r="6" spans="1:16" x14ac:dyDescent="0.2">
      <c r="A6" t="s">
        <v>224</v>
      </c>
      <c r="E6" s="3"/>
      <c r="I6">
        <v>1</v>
      </c>
      <c r="J6">
        <v>2</v>
      </c>
      <c r="K6">
        <v>3</v>
      </c>
      <c r="L6">
        <v>4</v>
      </c>
      <c r="M6">
        <v>5</v>
      </c>
    </row>
    <row r="7" spans="1:16" x14ac:dyDescent="0.2">
      <c r="A7" t="s">
        <v>225</v>
      </c>
      <c r="I7">
        <f>I3/(1+$D$16)^1</f>
        <v>76592.476952531826</v>
      </c>
      <c r="J7">
        <f t="shared" ref="J7:L7" si="0">J3/(1+$D$16)^1</f>
        <v>84375.946019256124</v>
      </c>
      <c r="K7">
        <f t="shared" si="0"/>
        <v>109279.25922223744</v>
      </c>
      <c r="L7">
        <f t="shared" si="0"/>
        <v>138103.36103691492</v>
      </c>
      <c r="M7">
        <f>M3/(1+$D$16)^1</f>
        <v>176877.91161517569</v>
      </c>
    </row>
    <row r="14" spans="1:16" x14ac:dyDescent="0.2">
      <c r="A14" t="s">
        <v>226</v>
      </c>
    </row>
    <row r="15" spans="1:16" x14ac:dyDescent="0.2">
      <c r="A15" t="s">
        <v>227</v>
      </c>
      <c r="D15" s="35">
        <f>SUM(I7:M7)</f>
        <v>585228.95484611602</v>
      </c>
    </row>
    <row r="16" spans="1:16" x14ac:dyDescent="0.2">
      <c r="A16" t="s">
        <v>252</v>
      </c>
      <c r="D16" s="33">
        <f>C46</f>
        <v>9.7824088111379881E-2</v>
      </c>
    </row>
    <row r="17" spans="1:8" x14ac:dyDescent="0.2">
      <c r="A17" t="s">
        <v>228</v>
      </c>
      <c r="D17">
        <v>0.04</v>
      </c>
    </row>
    <row r="18" spans="1:8" x14ac:dyDescent="0.2">
      <c r="A18" t="s">
        <v>229</v>
      </c>
      <c r="D18" s="35">
        <f>M3*(1+D17)/(D16-D17)</f>
        <v>3492455.6859076661</v>
      </c>
    </row>
    <row r="19" spans="1:8" x14ac:dyDescent="0.2">
      <c r="A19" t="s">
        <v>230</v>
      </c>
      <c r="D19" s="35">
        <f>D18/(1+D16)^5</f>
        <v>2190116.0393039421</v>
      </c>
    </row>
    <row r="20" spans="1:8" x14ac:dyDescent="0.2">
      <c r="A20" t="s">
        <v>231</v>
      </c>
      <c r="D20" s="35">
        <f>D19+D15</f>
        <v>2775344.9941500584</v>
      </c>
      <c r="H20" t="s">
        <v>200</v>
      </c>
    </row>
    <row r="21" spans="1:8" x14ac:dyDescent="0.2">
      <c r="A21" t="s">
        <v>232</v>
      </c>
      <c r="D21" s="36">
        <v>43210</v>
      </c>
    </row>
    <row r="22" spans="1:8" x14ac:dyDescent="0.2">
      <c r="A22" t="s">
        <v>233</v>
      </c>
      <c r="D22" s="35">
        <f>'[1]Balance Sheet'!$I$63</f>
        <v>9780</v>
      </c>
    </row>
    <row r="23" spans="1:8" x14ac:dyDescent="0.2">
      <c r="A23" s="23" t="s">
        <v>234</v>
      </c>
      <c r="B23" s="23"/>
      <c r="C23" s="23"/>
      <c r="D23" s="23"/>
      <c r="E23" s="23"/>
      <c r="F23" s="23"/>
    </row>
    <row r="24" spans="1:8" x14ac:dyDescent="0.2">
      <c r="A24" s="30" t="s">
        <v>235</v>
      </c>
      <c r="B24" s="30"/>
      <c r="C24" s="30"/>
      <c r="D24" s="31">
        <f>D20+D21-D22</f>
        <v>2808774.9941500584</v>
      </c>
      <c r="E24" s="30"/>
      <c r="F24" s="30"/>
    </row>
    <row r="25" spans="1:8" x14ac:dyDescent="0.2">
      <c r="A25" s="30" t="s">
        <v>236</v>
      </c>
      <c r="B25" s="30"/>
      <c r="C25" s="30"/>
      <c r="D25" s="30">
        <v>24477</v>
      </c>
      <c r="E25" s="30"/>
      <c r="F25" s="30"/>
    </row>
    <row r="26" spans="1:8" x14ac:dyDescent="0.2">
      <c r="A26" s="23" t="s">
        <v>237</v>
      </c>
      <c r="B26" s="23"/>
      <c r="C26" s="23"/>
      <c r="D26" s="23">
        <f>D24/D25</f>
        <v>114.75160330718872</v>
      </c>
      <c r="E26" s="23"/>
      <c r="F26" s="23"/>
    </row>
    <row r="31" spans="1:8" x14ac:dyDescent="0.2">
      <c r="A31" t="s">
        <v>238</v>
      </c>
    </row>
    <row r="32" spans="1:8" x14ac:dyDescent="0.2">
      <c r="A32" t="s">
        <v>239</v>
      </c>
      <c r="C32">
        <f>4217052</f>
        <v>4217052</v>
      </c>
    </row>
    <row r="33" spans="1:6" x14ac:dyDescent="0.2">
      <c r="A33" t="s">
        <v>240</v>
      </c>
      <c r="C33" s="3">
        <f>'[1]Balance Sheet'!$I$63</f>
        <v>9780</v>
      </c>
    </row>
    <row r="34" spans="1:6" x14ac:dyDescent="0.2">
      <c r="A34" t="s">
        <v>241</v>
      </c>
      <c r="C34">
        <f>247/C33</f>
        <v>2.5255623721881389E-2</v>
      </c>
    </row>
    <row r="35" spans="1:6" x14ac:dyDescent="0.2">
      <c r="A35" t="s">
        <v>242</v>
      </c>
      <c r="C35">
        <v>0.13</v>
      </c>
    </row>
    <row r="36" spans="1:6" x14ac:dyDescent="0.2">
      <c r="A36" s="23" t="s">
        <v>243</v>
      </c>
      <c r="B36" s="23"/>
      <c r="C36" s="23">
        <f>C33/SUM(C32:C33)</f>
        <v>2.3137896183240783E-3</v>
      </c>
      <c r="D36" s="23"/>
      <c r="E36" s="23"/>
      <c r="F36" s="23"/>
    </row>
    <row r="37" spans="1:6" x14ac:dyDescent="0.2">
      <c r="A37" s="30" t="s">
        <v>244</v>
      </c>
      <c r="B37" s="30"/>
      <c r="C37" s="30">
        <f>C34*(1-C35)</f>
        <v>2.1972392638036808E-2</v>
      </c>
      <c r="D37" s="30"/>
      <c r="E37" s="30"/>
      <c r="F37" s="30"/>
    </row>
    <row r="39" spans="1:6" x14ac:dyDescent="0.2">
      <c r="A39" t="s">
        <v>245</v>
      </c>
      <c r="C39">
        <v>0.03</v>
      </c>
    </row>
    <row r="40" spans="1:6" x14ac:dyDescent="0.2">
      <c r="A40" t="s">
        <v>246</v>
      </c>
      <c r="C40">
        <v>0.1</v>
      </c>
    </row>
    <row r="41" spans="1:6" x14ac:dyDescent="0.2">
      <c r="A41" t="s">
        <v>247</v>
      </c>
      <c r="C41">
        <f>C40-C39</f>
        <v>7.0000000000000007E-2</v>
      </c>
    </row>
    <row r="42" spans="1:6" x14ac:dyDescent="0.2">
      <c r="A42" t="s">
        <v>248</v>
      </c>
      <c r="C42">
        <v>1.7</v>
      </c>
    </row>
    <row r="43" spans="1:6" x14ac:dyDescent="0.2">
      <c r="A43" s="23" t="s">
        <v>249</v>
      </c>
      <c r="B43" s="23"/>
      <c r="C43" s="23">
        <f>C32/SUM(C32:C33)</f>
        <v>0.99768621038167593</v>
      </c>
      <c r="D43" s="23"/>
      <c r="E43" s="23"/>
      <c r="F43" s="23"/>
    </row>
    <row r="44" spans="1:6" x14ac:dyDescent="0.2">
      <c r="A44" s="30" t="s">
        <v>250</v>
      </c>
      <c r="B44" s="30"/>
      <c r="C44" s="30">
        <f>C39+C42*(C41-C39)</f>
        <v>9.8000000000000004E-2</v>
      </c>
      <c r="D44" s="30"/>
      <c r="E44" s="30"/>
      <c r="F44" s="30"/>
    </row>
    <row r="46" spans="1:6" x14ac:dyDescent="0.2">
      <c r="A46" t="s">
        <v>251</v>
      </c>
      <c r="C46" s="33">
        <f>C37*C36+C44*C43</f>
        <v>9.7824088111379881E-2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5C60-EFAC-EE42-A9DD-CEBE5470AB5B}">
  <dimension ref="A1"/>
  <sheetViews>
    <sheetView workbookViewId="0">
      <selection activeCell="E29" sqref="E29"/>
    </sheetView>
  </sheetViews>
  <sheetFormatPr baseColWidth="10" defaultRowHeight="15" x14ac:dyDescent="0.2"/>
  <sheetData>
    <row r="1" spans="1:1" x14ac:dyDescent="0.2">
      <c r="A1" t="s">
        <v>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1267e8-2087-4430-8898-7e1d16711490">
      <Terms xmlns="http://schemas.microsoft.com/office/infopath/2007/PartnerControls"/>
    </lcf76f155ced4ddcb4097134ff3c332f>
    <TaxCatchAll xmlns="16457750-3f8d-456e-a162-25cda7a135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AE67CE2B7A849BC0898B7A9D77711" ma:contentTypeVersion="16" ma:contentTypeDescription="Create a new document." ma:contentTypeScope="" ma:versionID="8f4462d3bb4f37f5719cdd43c435f416">
  <xsd:schema xmlns:xsd="http://www.w3.org/2001/XMLSchema" xmlns:xs="http://www.w3.org/2001/XMLSchema" xmlns:p="http://schemas.microsoft.com/office/2006/metadata/properties" xmlns:ns2="0d1267e8-2087-4430-8898-7e1d16711490" xmlns:ns3="16457750-3f8d-456e-a162-25cda7a13520" targetNamespace="http://schemas.microsoft.com/office/2006/metadata/properties" ma:root="true" ma:fieldsID="26bc543e6a054a3812c17b0f5a8fdeb2" ns2:_="" ns3:_="">
    <xsd:import namespace="0d1267e8-2087-4430-8898-7e1d16711490"/>
    <xsd:import namespace="16457750-3f8d-456e-a162-25cda7a135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267e8-2087-4430-8898-7e1d16711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df17195-eaee-4bd6-9581-c6a1c63b19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57750-3f8d-456e-a162-25cda7a1352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87162f-81e1-443d-83c7-e94abc82f638}" ma:internalName="TaxCatchAll" ma:showField="CatchAllData" ma:web="16457750-3f8d-456e-a162-25cda7a135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0072AD-55B6-41FE-9B36-43737C7D881D}">
  <ds:schemaRefs>
    <ds:schemaRef ds:uri="16457750-3f8d-456e-a162-25cda7a13520"/>
    <ds:schemaRef ds:uri="http://purl.org/dc/terms/"/>
    <ds:schemaRef ds:uri="http://purl.org/dc/elements/1.1/"/>
    <ds:schemaRef ds:uri="0d1267e8-2087-4430-8898-7e1d16711490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F542A43-B77B-4B6F-AC4F-CD01337D2E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267e8-2087-4430-8898-7e1d16711490"/>
    <ds:schemaRef ds:uri="16457750-3f8d-456e-a162-25cda7a135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F864D-37C0-4BDD-9BBE-FCF4F82912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Income Statement </vt:lpstr>
      <vt:lpstr>Balance Sheet</vt:lpstr>
      <vt:lpstr>Cash Flow </vt:lpstr>
      <vt:lpstr>Free Cash Flows</vt:lpstr>
      <vt:lpstr>Fixed Assets </vt:lpstr>
      <vt:lpstr>Working Capital </vt:lpstr>
      <vt:lpstr>DCF</vt:lpstr>
      <vt:lpstr>Sources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Aharonoff</dc:creator>
  <cp:keywords/>
  <dc:description/>
  <cp:lastModifiedBy>Reese Kurt</cp:lastModifiedBy>
  <cp:revision/>
  <dcterms:created xsi:type="dcterms:W3CDTF">2024-03-05T01:49:27Z</dcterms:created>
  <dcterms:modified xsi:type="dcterms:W3CDTF">2025-11-06T17:21:01Z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0x010100E6FAE67CE2B7A849BC0898B7A9D77711</vt:lpwstr>
  </property>
</Properties>
</file>